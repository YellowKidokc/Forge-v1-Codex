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lowes\Desktop\"/>
    </mc:Choice>
  </mc:AlternateContent>
  <xr:revisionPtr revIDLastSave="0" documentId="8_{F5847F25-F1E6-46D9-9881-6866E0902204}" xr6:coauthVersionLast="47" xr6:coauthVersionMax="47" xr10:uidLastSave="{00000000-0000-0000-0000-000000000000}"/>
  <bookViews>
    <workbookView xWindow="4224" yWindow="4824" windowWidth="36876" windowHeight="18156" activeTab="3" xr2:uid="{00000000-000D-0000-FFFF-FFFF00000000}"/>
  </bookViews>
  <sheets>
    <sheet name="EVIDENCE_ENTRY" sheetId="20" r:id="rId1"/>
    <sheet name="SCHEMA_MAP" sheetId="21" r:id="rId2"/>
    <sheet name="JSONLD_TEMPLATES" sheetId="22" r:id="rId3"/>
    <sheet name="PIPELINE_SPEC" sheetId="23" r:id="rId4"/>
    <sheet name="EVIDENCE_TAXONOMY" sheetId="16" r:id="rId5"/>
    <sheet name="CASE_TYPES" sheetId="17" r:id="rId6"/>
    <sheet name="MODULE_TEMPLATES" sheetId="18" r:id="rId7"/>
    <sheet name="CASE_MODULE_MAP" sheetId="19" r:id="rId8"/>
    <sheet name="TEMPLATE_THEOPHYSICS_FACTS (1)" sheetId="15" r:id="rId9"/>
    <sheet name="FACTS_PAPER" sheetId="1" r:id="rId10"/>
    <sheet name="DROPDOWNS" sheetId="2" state="hidden" r:id="rId11"/>
    <sheet name="DEFENSE_RECORD" sheetId="3" r:id="rId12"/>
    <sheet name="PAPER_II_ADVERSARIAL" sheetId="4" r:id="rId13"/>
    <sheet name="WORD_CLUSTERS" sheetId="5" r:id="rId14"/>
    <sheet name="7Q_RIGOR_CARD" sheetId="6" r:id="rId15"/>
    <sheet name="7Q_EVIDENCE_PROTOCOL" sheetId="7" r:id="rId16"/>
    <sheet name="7Q_CLASSIFIER" sheetId="8" r:id="rId17"/>
    <sheet name="7Q_REVERSE_PROVE" sheetId="9" r:id="rId18"/>
    <sheet name="7Q_REVERSE_PROVE_CLEAN" sheetId="10" r:id="rId19"/>
    <sheet name="LOWE_FACTS_FORMAT" sheetId="11" r:id="rId20"/>
    <sheet name="AXIOM_DIAGRAMS" sheetId="12" r:id="rId21"/>
    <sheet name="AXIOM_CONTAINER_MODEL" sheetId="13" r:id="rId22"/>
    <sheet name="PUBLICATION_PIPELINE" sheetId="14"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5" i="20" l="1"/>
  <c r="O25" i="20"/>
  <c r="M25" i="20"/>
  <c r="Y22" i="20"/>
  <c r="W22" i="20"/>
  <c r="V22" i="20"/>
  <c r="U22" i="20"/>
  <c r="X22" i="20" s="1"/>
  <c r="Y21" i="20"/>
  <c r="W21" i="20"/>
  <c r="V21" i="20"/>
  <c r="U21" i="20"/>
  <c r="X21" i="20" s="1"/>
  <c r="Y20" i="20"/>
  <c r="W20" i="20"/>
  <c r="V20" i="20"/>
  <c r="U20" i="20"/>
  <c r="X20" i="20" s="1"/>
  <c r="Y19" i="20"/>
  <c r="W19" i="20"/>
  <c r="V19" i="20"/>
  <c r="U19" i="20"/>
  <c r="X19" i="20" s="1"/>
  <c r="Y18" i="20"/>
  <c r="W18" i="20"/>
  <c r="V18" i="20"/>
  <c r="U18" i="20"/>
  <c r="X18" i="20" s="1"/>
  <c r="Y17" i="20"/>
  <c r="W17" i="20"/>
  <c r="V17" i="20"/>
  <c r="U17" i="20"/>
  <c r="X17" i="20" s="1"/>
  <c r="Y16" i="20"/>
  <c r="X16" i="20"/>
  <c r="W16" i="20"/>
  <c r="V16" i="20"/>
  <c r="U16" i="20"/>
  <c r="Y15" i="20"/>
  <c r="W15" i="20"/>
  <c r="V15" i="20"/>
  <c r="U15" i="20"/>
  <c r="X15" i="20" s="1"/>
  <c r="Y14" i="20"/>
  <c r="W14" i="20"/>
  <c r="V14" i="20"/>
  <c r="U14" i="20"/>
  <c r="X14" i="20" s="1"/>
  <c r="Y13" i="20"/>
  <c r="W13" i="20"/>
  <c r="X13" i="20" s="1"/>
  <c r="V13" i="20"/>
  <c r="U13" i="20"/>
  <c r="Y12" i="20"/>
  <c r="W12" i="20"/>
  <c r="V12" i="20"/>
  <c r="U12" i="20"/>
  <c r="X12" i="20" s="1"/>
  <c r="Y11" i="20"/>
  <c r="W11" i="20"/>
  <c r="V11" i="20"/>
  <c r="U11" i="20"/>
  <c r="X11" i="20" s="1"/>
  <c r="Y10" i="20"/>
  <c r="W10" i="20"/>
  <c r="V10" i="20"/>
  <c r="X10" i="20" s="1"/>
  <c r="U10" i="20"/>
  <c r="Y9" i="20"/>
  <c r="W9" i="20"/>
  <c r="V9" i="20"/>
  <c r="U9" i="20"/>
  <c r="X9" i="20" s="1"/>
  <c r="Y8" i="20"/>
  <c r="W8" i="20"/>
  <c r="V8" i="20"/>
  <c r="U8" i="20"/>
  <c r="X8" i="20" s="1"/>
  <c r="Y7" i="20"/>
  <c r="W7" i="20"/>
  <c r="H25" i="20" s="1"/>
  <c r="V7" i="20"/>
  <c r="F25" i="20" s="1"/>
  <c r="U7" i="20"/>
  <c r="X7" i="20" s="1"/>
  <c r="Y6" i="20"/>
  <c r="W6" i="20"/>
  <c r="V6" i="20"/>
  <c r="U6" i="20"/>
  <c r="X6" i="20" s="1"/>
  <c r="Y5" i="20"/>
  <c r="W5" i="20"/>
  <c r="V5" i="20"/>
  <c r="U5" i="20"/>
  <c r="X5" i="20" s="1"/>
  <c r="Y4" i="20"/>
  <c r="X4" i="20"/>
  <c r="W4" i="20"/>
  <c r="V4" i="20"/>
  <c r="U4" i="20"/>
  <c r="Y3" i="20"/>
  <c r="X3" i="20"/>
  <c r="W3" i="20"/>
  <c r="V3" i="20"/>
  <c r="U3" i="20"/>
  <c r="J26" i="20"/>
  <c r="H26" i="20"/>
  <c r="F26" i="20"/>
  <c r="B26" i="20"/>
  <c r="B25" i="20"/>
  <c r="K30" i="19"/>
  <c r="J30" i="19"/>
  <c r="I30" i="19"/>
  <c r="H30" i="19"/>
  <c r="G30" i="19"/>
  <c r="F30" i="19"/>
  <c r="E30" i="19"/>
  <c r="D30" i="19"/>
  <c r="C30" i="19"/>
  <c r="E23" i="15"/>
  <c r="E21" i="15"/>
  <c r="E19" i="15"/>
  <c r="E17" i="15"/>
  <c r="E15" i="15"/>
  <c r="E13" i="15"/>
  <c r="E11" i="15"/>
  <c r="E9" i="15"/>
  <c r="E7" i="15"/>
  <c r="D417" i="15"/>
  <c r="D416" i="15"/>
  <c r="D414" i="15"/>
  <c r="B279" i="15"/>
  <c r="B281" i="15" s="1"/>
  <c r="D281" i="15" s="1"/>
  <c r="C42" i="7"/>
  <c r="C41" i="7"/>
  <c r="B40" i="7"/>
  <c r="B39" i="7"/>
  <c r="B36" i="7"/>
  <c r="B28" i="7"/>
  <c r="B21" i="7"/>
  <c r="C87" i="6"/>
  <c r="D94" i="6"/>
  <c r="D93" i="6"/>
  <c r="D92" i="6"/>
  <c r="D91" i="6"/>
  <c r="B13" i="6"/>
  <c r="B12" i="6"/>
  <c r="C83" i="6"/>
  <c r="C82" i="6"/>
  <c r="C81" i="6"/>
  <c r="C80" i="6"/>
  <c r="C79" i="6"/>
  <c r="C78" i="6"/>
  <c r="C74" i="6"/>
  <c r="C86" i="6" s="1"/>
  <c r="C73" i="6"/>
  <c r="C72" i="6"/>
  <c r="C71" i="6"/>
  <c r="C70" i="6"/>
  <c r="B66" i="6"/>
  <c r="D65" i="6"/>
  <c r="D64" i="6"/>
  <c r="D63" i="6"/>
  <c r="D62" i="6"/>
  <c r="B58" i="6"/>
  <c r="D57" i="6"/>
  <c r="D56" i="6"/>
  <c r="D55" i="6"/>
  <c r="B51" i="6"/>
  <c r="D50" i="6"/>
  <c r="D49" i="6"/>
  <c r="D48" i="6"/>
  <c r="D25" i="20" l="1"/>
  <c r="C85" i="6"/>
  <c r="D7" i="6" s="1"/>
  <c r="J25" i="20" l="1"/>
  <c r="C88" i="6"/>
  <c r="B6" i="6" s="1"/>
  <c r="B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Lowe</author>
  </authors>
  <commentList>
    <comment ref="B3" authorId="0" shapeId="0" xr:uid="{BA630C50-8838-433B-8132-4BBA6932A3A5}">
      <text>
        <r>
          <rPr>
            <b/>
            <sz val="9"/>
            <color indexed="81"/>
            <rFont val="Tahoma"/>
            <charset val="1"/>
          </rPr>
          <t>David Lowe:</t>
        </r>
        <r>
          <rPr>
            <sz val="9"/>
            <color indexed="81"/>
            <rFont val="Tahoma"/>
            <charset val="1"/>
          </rPr>
          <t xml:space="preserve">
Enter the specific claim text being evaluated</t>
        </r>
      </text>
    </comment>
    <comment ref="C3" authorId="0" shapeId="0" xr:uid="{5C467CAD-1A00-480F-8D49-41AF0A1F689C}">
      <text>
        <r>
          <rPr>
            <b/>
            <sz val="9"/>
            <color indexed="81"/>
            <rFont val="Tahoma"/>
            <charset val="1"/>
          </rPr>
          <t>David Lowe:</t>
        </r>
        <r>
          <rPr>
            <sz val="9"/>
            <color indexed="81"/>
            <rFont val="Tahoma"/>
            <charset val="1"/>
          </rPr>
          <t xml:space="preserve">
Reference a case from CASE_TYPES sheet</t>
        </r>
      </text>
    </comment>
    <comment ref="D3" authorId="0" shapeId="0" xr:uid="{4F33865A-15FF-4ADD-892C-3ADD68413153}">
      <text>
        <r>
          <rPr>
            <b/>
            <sz val="9"/>
            <color indexed="81"/>
            <rFont val="Tahoma"/>
            <charset val="1"/>
          </rPr>
          <t>David Lowe:</t>
        </r>
        <r>
          <rPr>
            <sz val="9"/>
            <color indexed="81"/>
            <rFont val="Tahoma"/>
            <charset val="1"/>
          </rPr>
          <t xml:space="preserve">
Where does this evidence come from?</t>
        </r>
      </text>
    </comment>
    <comment ref="E3" authorId="0" shapeId="0" xr:uid="{8ADAF945-25CF-4209-BFE9-AF564AA00D97}">
      <text>
        <r>
          <rPr>
            <b/>
            <sz val="9"/>
            <color indexed="81"/>
            <rFont val="Tahoma"/>
            <charset val="1"/>
          </rPr>
          <t>David Lowe:</t>
        </r>
        <r>
          <rPr>
            <sz val="9"/>
            <color indexed="81"/>
            <rFont val="Tahoma"/>
            <charset val="1"/>
          </rPr>
          <t xml:space="preserve">
Use a db_tag from EVIDENCE_TAXONOMY (e.g. declass_gov, court_record, peer_reviewed)</t>
        </r>
      </text>
    </comment>
    <comment ref="F3" authorId="0" shapeId="0" xr:uid="{81542C2C-CC12-48E5-8D35-F122965A8977}">
      <text>
        <r>
          <rPr>
            <b/>
            <sz val="9"/>
            <color indexed="81"/>
            <rFont val="Tahoma"/>
            <charset val="1"/>
          </rPr>
          <t>David Lowe:</t>
        </r>
        <r>
          <rPr>
            <sz val="9"/>
            <color indexed="81"/>
            <rFont val="Tahoma"/>
            <charset val="1"/>
          </rPr>
          <t xml:space="preserve">
T1, T2, T3, T4, T5, or N</t>
        </r>
      </text>
    </comment>
    <comment ref="G3" authorId="0" shapeId="0" xr:uid="{27186086-CBCD-4F4F-A5D4-5544A6DCC728}">
      <text>
        <r>
          <rPr>
            <b/>
            <sz val="9"/>
            <color indexed="81"/>
            <rFont val="Tahoma"/>
            <charset val="1"/>
          </rPr>
          <t>David Lowe:</t>
        </r>
        <r>
          <rPr>
            <sz val="9"/>
            <color indexed="81"/>
            <rFont val="Tahoma"/>
            <charset val="1"/>
          </rPr>
          <t xml:space="preserve">
URL to source material</t>
        </r>
      </text>
    </comment>
    <comment ref="H3" authorId="0" shapeId="0" xr:uid="{AB31E11E-2BE4-40A5-9F87-8EBB1A5C3C08}">
      <text>
        <r>
          <rPr>
            <b/>
            <sz val="9"/>
            <color indexed="81"/>
            <rFont val="Tahoma"/>
            <charset val="1"/>
          </rPr>
          <t>David Lowe:</t>
        </r>
        <r>
          <rPr>
            <sz val="9"/>
            <color indexed="81"/>
            <rFont val="Tahoma"/>
            <charset val="1"/>
          </rPr>
          <t xml:space="preserve">
Date you accessed this source (YYYY-MM-DD)</t>
        </r>
      </text>
    </comment>
    <comment ref="I3" authorId="0" shapeId="0" xr:uid="{5DABECC9-54BD-443D-944B-26BC9B9E89D9}">
      <text>
        <r>
          <rPr>
            <b/>
            <sz val="9"/>
            <color indexed="81"/>
            <rFont val="Tahoma"/>
            <charset val="1"/>
          </rPr>
          <t>David Lowe:</t>
        </r>
        <r>
          <rPr>
            <sz val="9"/>
            <color indexed="81"/>
            <rFont val="Tahoma"/>
            <charset val="1"/>
          </rPr>
          <t xml:space="preserve">
verified | pending | disputed | unverifiable</t>
        </r>
      </text>
    </comment>
    <comment ref="J3" authorId="0" shapeId="0" xr:uid="{4C2210A0-FAC4-4D89-9379-7EA13DAFC270}">
      <text>
        <r>
          <rPr>
            <b/>
            <sz val="9"/>
            <color indexed="81"/>
            <rFont val="Tahoma"/>
            <charset val="1"/>
          </rPr>
          <t>David Lowe:</t>
        </r>
        <r>
          <rPr>
            <sz val="9"/>
            <color indexed="81"/>
            <rFont val="Tahoma"/>
            <charset val="1"/>
          </rPr>
          <t xml:space="preserve">
Number of independent sources confirming</t>
        </r>
      </text>
    </comment>
    <comment ref="K3" authorId="0" shapeId="0" xr:uid="{F40E0161-0AE7-4A52-A9C7-9AB016EEDBDE}">
      <text>
        <r>
          <rPr>
            <b/>
            <sz val="9"/>
            <color indexed="81"/>
            <rFont val="Tahoma"/>
            <charset val="1"/>
          </rPr>
          <t>David Lowe:</t>
        </r>
        <r>
          <rPr>
            <sz val="9"/>
            <color indexed="81"/>
            <rFont val="Tahoma"/>
            <charset val="1"/>
          </rPr>
          <t xml:space="preserve">
Free-text notes or annotations</t>
        </r>
      </text>
    </comment>
    <comment ref="L3" authorId="0" shapeId="0" xr:uid="{73B1860B-31CF-4B14-94B2-0F356617154F}">
      <text>
        <r>
          <rPr>
            <b/>
            <sz val="9"/>
            <color indexed="81"/>
            <rFont val="Tahoma"/>
            <charset val="1"/>
          </rPr>
          <t>David Lowe:</t>
        </r>
        <r>
          <rPr>
            <sz val="9"/>
            <color indexed="81"/>
            <rFont val="Tahoma"/>
            <charset val="1"/>
          </rPr>
          <t xml:space="preserve">
schema:author.name — Named person who authored or reported this evidence</t>
        </r>
      </text>
    </comment>
    <comment ref="M3" authorId="0" shapeId="0" xr:uid="{43335957-FC52-4E95-B940-EFE9BB1D7AC2}">
      <text>
        <r>
          <rPr>
            <b/>
            <sz val="9"/>
            <color indexed="81"/>
            <rFont val="Tahoma"/>
            <charset val="1"/>
          </rPr>
          <t>David Lowe:</t>
        </r>
        <r>
          <rPr>
            <sz val="9"/>
            <color indexed="81"/>
            <rFont val="Tahoma"/>
            <charset val="1"/>
          </rPr>
          <t xml:space="preserve">
schema:author.affiliation — Organization of the author (e.g. Washington Post, CIA, MIT)</t>
        </r>
      </text>
    </comment>
    <comment ref="N3" authorId="0" shapeId="0" xr:uid="{3BAC87C9-46B8-4D00-861E-8363FEB7CEDC}">
      <text>
        <r>
          <rPr>
            <b/>
            <sz val="9"/>
            <color indexed="81"/>
            <rFont val="Tahoma"/>
            <charset val="1"/>
          </rPr>
          <t>David Lowe:</t>
        </r>
        <r>
          <rPr>
            <sz val="9"/>
            <color indexed="81"/>
            <rFont val="Tahoma"/>
            <charset val="1"/>
          </rPr>
          <t xml:space="preserve">
schema:itemReviewed — The specific thing being fact-checked (event, document, statement)</t>
        </r>
      </text>
    </comment>
    <comment ref="O3" authorId="0" shapeId="0" xr:uid="{E651D418-1B96-44FE-A49C-41BFE9A05713}">
      <text>
        <r>
          <rPr>
            <b/>
            <sz val="9"/>
            <color indexed="81"/>
            <rFont val="Tahoma"/>
            <charset val="1"/>
          </rPr>
          <t>David Lowe:</t>
        </r>
        <r>
          <rPr>
            <sz val="9"/>
            <color indexed="81"/>
            <rFont val="Tahoma"/>
            <charset val="1"/>
          </rPr>
          <t xml:space="preserve">
schema:reviewRating — Required for Google ClaimReview rich results</t>
        </r>
      </text>
    </comment>
    <comment ref="P3" authorId="0" shapeId="0" xr:uid="{70B178ED-38FD-4750-8A72-E3B864A6EEF2}">
      <text>
        <r>
          <rPr>
            <b/>
            <sz val="9"/>
            <color indexed="81"/>
            <rFont val="Tahoma"/>
            <charset val="1"/>
          </rPr>
          <t>David Lowe:</t>
        </r>
        <r>
          <rPr>
            <sz val="9"/>
            <color indexed="81"/>
            <rFont val="Tahoma"/>
            <charset val="1"/>
          </rPr>
          <t xml:space="preserve">
schema:datePublished — When the original claim was published (not when you accessed it)</t>
        </r>
      </text>
    </comment>
    <comment ref="Q3" authorId="0" shapeId="0" xr:uid="{2711B3AB-B36D-48B8-AF4E-D333E795E2DD}">
      <text>
        <r>
          <rPr>
            <b/>
            <sz val="9"/>
            <color indexed="81"/>
            <rFont val="Tahoma"/>
            <charset val="1"/>
          </rPr>
          <t>David Lowe:</t>
        </r>
        <r>
          <rPr>
            <sz val="9"/>
            <color indexed="81"/>
            <rFont val="Tahoma"/>
            <charset val="1"/>
          </rPr>
          <t xml:space="preserve">
schema:dateModified — When this review entry was last updated</t>
        </r>
      </text>
    </comment>
    <comment ref="R3" authorId="0" shapeId="0" xr:uid="{691EF502-8A44-4FD4-AC00-670E7A0F7676}">
      <text>
        <r>
          <rPr>
            <b/>
            <sz val="9"/>
            <color indexed="81"/>
            <rFont val="Tahoma"/>
            <charset val="1"/>
          </rPr>
          <t>David Lowe:</t>
        </r>
        <r>
          <rPr>
            <sz val="9"/>
            <color indexed="81"/>
            <rFont val="Tahoma"/>
            <charset val="1"/>
          </rPr>
          <t xml:space="preserve">
schema:positiveNotes — Strengths and supporting factors for this evidence</t>
        </r>
      </text>
    </comment>
    <comment ref="S3" authorId="0" shapeId="0" xr:uid="{7A04D42B-F345-4ECB-93C8-E29D47CB35E3}">
      <text>
        <r>
          <rPr>
            <b/>
            <sz val="9"/>
            <color indexed="81"/>
            <rFont val="Tahoma"/>
            <charset val="1"/>
          </rPr>
          <t>David Lowe:</t>
        </r>
        <r>
          <rPr>
            <sz val="9"/>
            <color indexed="81"/>
            <rFont val="Tahoma"/>
            <charset val="1"/>
          </rPr>
          <t xml:space="preserve">
schema:negativeNotes — Weaknesses, caveats, or concerns about this evidence</t>
        </r>
      </text>
    </comment>
  </commentList>
</comments>
</file>

<file path=xl/sharedStrings.xml><?xml version="1.0" encoding="utf-8"?>
<sst xmlns="http://schemas.openxmlformats.org/spreadsheetml/2006/main" count="5336" uniqueCount="3843">
  <si>
    <t>THEOPHYSICS — LOWE FACTS FORMAT</t>
  </si>
  <si>
    <t>Navigate cell by cell. Click any yellow cell — dropdown menus appear. Fill what you can. Skip what you can't.</t>
  </si>
  <si>
    <t>📋  PAPER METADATA</t>
  </si>
  <si>
    <t>Paper ID</t>
  </si>
  <si>
    <t>[e.g., NUC-THESIS-001]</t>
  </si>
  <si>
    <t>Title</t>
  </si>
  <si>
    <t>Paper Type</t>
  </si>
  <si>
    <t>[Select ▼]</t>
  </si>
  <si>
    <t>Series</t>
  </si>
  <si>
    <t>Classification</t>
  </si>
  <si>
    <t>Author</t>
  </si>
  <si>
    <t>David Lowe</t>
  </si>
  <si>
    <t>Co-Author</t>
  </si>
  <si>
    <t>[e.g., Claude (Opus)]</t>
  </si>
  <si>
    <t>Date</t>
  </si>
  <si>
    <t>[YYYY-MM-DD]</t>
  </si>
  <si>
    <t>Version</t>
  </si>
  <si>
    <t>1.0</t>
  </si>
  <si>
    <t>Status</t>
  </si>
  <si>
    <t>[Draft / Review / Final]</t>
  </si>
  <si>
    <t>§0  AXIOM DECLARATION</t>
  </si>
  <si>
    <t>Foundational Axiom</t>
  </si>
  <si>
    <t>[One sentence. If this is false, the entire paper fails.]</t>
  </si>
  <si>
    <t>[F]  FIND — THE ANOMALY</t>
  </si>
  <si>
    <t>What was observed? What pattern demands explanation?</t>
  </si>
  <si>
    <t>Observation</t>
  </si>
  <si>
    <t>[What did you notice?]</t>
  </si>
  <si>
    <t>Expected</t>
  </si>
  <si>
    <t>[What should have been true?]</t>
  </si>
  <si>
    <t>Actual</t>
  </si>
  <si>
    <t>[What IS true instead?]</t>
  </si>
  <si>
    <t>Prior Explanations</t>
  </si>
  <si>
    <t>[What others have said — and why it's insufficient]</t>
  </si>
  <si>
    <t>What's New Here</t>
  </si>
  <si>
    <t>[Your contribution]</t>
  </si>
  <si>
    <t>The Anomaly (2-3 paragraphs)</t>
  </si>
  <si>
    <t>[Write the core finding. No throat-clearing.]</t>
  </si>
  <si>
    <t>[A]  ADMIT — THE BIAS</t>
  </si>
  <si>
    <t>Compressed Biaxiosum — who is writing this and what are their priors?</t>
  </si>
  <si>
    <t>Worldview</t>
  </si>
  <si>
    <t>Details</t>
  </si>
  <si>
    <t>[Expand on selection if needed]</t>
  </si>
  <si>
    <t>Core Belief</t>
  </si>
  <si>
    <t>Epistemology</t>
  </si>
  <si>
    <t>Off-Ramp</t>
  </si>
  <si>
    <t>Priors</t>
  </si>
  <si>
    <t>[e.g., Master Equation χ, Ten Laws, 188 axioms]</t>
  </si>
  <si>
    <t>Mea Culpa</t>
  </si>
  <si>
    <t>[Honest limitations — what you might be wrong about]</t>
  </si>
  <si>
    <t>[C]  CLAIM — THE THESIS</t>
  </si>
  <si>
    <t>Primary Question</t>
  </si>
  <si>
    <t>[One question this paper answers]</t>
  </si>
  <si>
    <t>THESIS (one sentence)</t>
  </si>
  <si>
    <t>[One sentence. The claim. No hedging.]</t>
  </si>
  <si>
    <t>Support 1</t>
  </si>
  <si>
    <t>[Supporting argument 1]</t>
  </si>
  <si>
    <t>Support 2</t>
  </si>
  <si>
    <t>[Supporting argument 2]</t>
  </si>
  <si>
    <t>Support 3</t>
  </si>
  <si>
    <t>[Supporting argument 3]</t>
  </si>
  <si>
    <t>Predictions</t>
  </si>
  <si>
    <t>If True → 1</t>
  </si>
  <si>
    <t>[Observable consequence 1]</t>
  </si>
  <si>
    <t>If True → 2</t>
  </si>
  <si>
    <t>[Observable consequence 2]</t>
  </si>
  <si>
    <t>If True → 3</t>
  </si>
  <si>
    <t>[Observable consequence 3]</t>
  </si>
  <si>
    <t>If False → 1</t>
  </si>
  <si>
    <t>[What would be true instead 1]</t>
  </si>
  <si>
    <t>If False → 2</t>
  </si>
  <si>
    <t>[What would be true instead 2]</t>
  </si>
  <si>
    <t>If False → 3</t>
  </si>
  <si>
    <t>[What would be true instead 3]</t>
  </si>
  <si>
    <t>[T]  TEST — THE PROOF</t>
  </si>
  <si>
    <t>Method Summary</t>
  </si>
  <si>
    <t>[How was this investigated?]</t>
  </si>
  <si>
    <t>Tools Used (select all that apply)</t>
  </si>
  <si>
    <t>Tool 1</t>
  </si>
  <si>
    <t>Source/Detail</t>
  </si>
  <si>
    <t>[Specify dataset or source]</t>
  </si>
  <si>
    <t>Tool 2</t>
  </si>
  <si>
    <t>Tool 3</t>
  </si>
  <si>
    <t>Tool 4</t>
  </si>
  <si>
    <t>Evidence Table</t>
  </si>
  <si>
    <t>#</t>
  </si>
  <si>
    <t>Domain / Variable</t>
  </si>
  <si>
    <t>Finding</t>
  </si>
  <si>
    <t>Metric</t>
  </si>
  <si>
    <t>Source</t>
  </si>
  <si>
    <t>Primary Finding</t>
  </si>
  <si>
    <t>[Main result in plain language]</t>
  </si>
  <si>
    <t>Unexpected</t>
  </si>
  <si>
    <t>[What you didn't expect to find]</t>
  </si>
  <si>
    <t>Null (no effect)</t>
  </si>
  <si>
    <t>[What returned nothing — intellectual honesty]</t>
  </si>
  <si>
    <t>Confidence</t>
  </si>
  <si>
    <t>[S]  SNAP — THE KILL CONDITIONS</t>
  </si>
  <si>
    <t>Kill Condition</t>
  </si>
  <si>
    <t>Threshold</t>
  </si>
  <si>
    <t>[How to destroy this claim]</t>
  </si>
  <si>
    <t>[What would count as evidence]</t>
  </si>
  <si>
    <t>📐  FRAMEWORK POSITIONING</t>
  </si>
  <si>
    <t>χ Variables Addressed</t>
  </si>
  <si>
    <t>Laws Invoked</t>
  </si>
  <si>
    <t>Connection 1</t>
  </si>
  <si>
    <t>[Link to other paper/axiom — how it connects]</t>
  </si>
  <si>
    <t>Connection 2</t>
  </si>
  <si>
    <t>🔋  THE LOWE BATTERY</t>
  </si>
  <si>
    <t>LCT (Coherence Test)</t>
  </si>
  <si>
    <t>Does the domain show coherence decay when the principle is violated?</t>
  </si>
  <si>
    <t>LFT (Fruits Test)</t>
  </si>
  <si>
    <t>Does constraint removal correlate with negative outcomes?</t>
  </si>
  <si>
    <t>LMT (Mastery Test)</t>
  </si>
  <si>
    <t>Can the model predict future states?</t>
  </si>
  <si>
    <t>✅  AUDIT BLOCK</t>
  </si>
  <si>
    <t>Format: Lowe FACTS Format v1.0</t>
  </si>
  <si>
    <t>Thesis Unit: [auto from Paper ID]</t>
  </si>
  <si>
    <t>Author: David Lowe</t>
  </si>
  <si>
    <t>Date: [auto from metadata]</t>
  </si>
  <si>
    <t>Kill Conditions Met: [ ] Yes  [ ] No</t>
  </si>
  <si>
    <t>χ Variables</t>
  </si>
  <si>
    <t>Laws</t>
  </si>
  <si>
    <t>Test Methods</t>
  </si>
  <si>
    <t>Evidence Domains</t>
  </si>
  <si>
    <t>Kill Status</t>
  </si>
  <si>
    <t>Lowe Battery</t>
  </si>
  <si>
    <t>Severity</t>
  </si>
  <si>
    <t>Defense Outcome</t>
  </si>
  <si>
    <t>Overall Verdict</t>
  </si>
  <si>
    <t>Fixable?</t>
  </si>
  <si>
    <t>Christian Theist</t>
  </si>
  <si>
    <t>Physics and theology are dual projections of single substrate</t>
  </si>
  <si>
    <t>Empirical + Revelational</t>
  </si>
  <si>
    <t>About God — nothing</t>
  </si>
  <si>
    <t>G (Gravity/Grace)</t>
  </si>
  <si>
    <t>Law I — Gravity ↔ Grace</t>
  </si>
  <si>
    <t>Historical analysis</t>
  </si>
  <si>
    <t>Physics</t>
  </si>
  <si>
    <t>Not yet tested</t>
  </si>
  <si>
    <t>Pass</t>
  </si>
  <si>
    <t>Paper I — Foundational Claim</t>
  </si>
  <si>
    <t>Logos Papers</t>
  </si>
  <si>
    <t>Core</t>
  </si>
  <si>
    <t>Critical — framework fails</t>
  </si>
  <si>
    <t>Held</t>
  </si>
  <si>
    <t>Passed</t>
  </si>
  <si>
    <t>Yes — minor revision</t>
  </si>
  <si>
    <t>0.95+ (near-certain)</t>
  </si>
  <si>
    <t>Deist</t>
  </si>
  <si>
    <t>Reality has a Logos structure discoverable through physics</t>
  </si>
  <si>
    <t>Empirical only</t>
  </si>
  <si>
    <t>Would change mind if kill conditions met</t>
  </si>
  <si>
    <t>M (Mass-Energy/Meaning)</t>
  </si>
  <si>
    <t>Law II — Mass-Energy ↔ Meaning</t>
  </si>
  <si>
    <t>Cross-domain synthesis</t>
  </si>
  <si>
    <t>Theology</t>
  </si>
  <si>
    <t>Not yet falsified</t>
  </si>
  <si>
    <t>Fail</t>
  </si>
  <si>
    <t>Paper II — Adversarial</t>
  </si>
  <si>
    <t>Theophysics Applied</t>
  </si>
  <si>
    <t>Bridge</t>
  </si>
  <si>
    <t>Major — paper fails</t>
  </si>
  <si>
    <t>Partially held</t>
  </si>
  <si>
    <t>Conditional Pass</t>
  </si>
  <si>
    <t>Yes — major revision</t>
  </si>
  <si>
    <t>0.90 (high)</t>
  </si>
  <si>
    <t>Agnostic</t>
  </si>
  <si>
    <t>Consciousness is fundamental, not emergent</t>
  </si>
  <si>
    <t>Rationalist</t>
  </si>
  <si>
    <t>Would change mind given sufficient counter-evidence</t>
  </si>
  <si>
    <t>E (Electromagnetism/Truth)</t>
  </si>
  <si>
    <t>Law III — Electromagnetism ↔ Truth</t>
  </si>
  <si>
    <t>External data (specify sources)</t>
  </si>
  <si>
    <t>Consciousness</t>
  </si>
  <si>
    <t>Tested — survived</t>
  </si>
  <si>
    <t>Pending</t>
  </si>
  <si>
    <t>Paper III — Application</t>
  </si>
  <si>
    <t>Convergence (Substack)</t>
  </si>
  <si>
    <t>Experimental</t>
  </si>
  <si>
    <t>Minor — claim weakened</t>
  </si>
  <si>
    <t>Broke</t>
  </si>
  <si>
    <t>Failed</t>
  </si>
  <si>
    <t>No — fundamental problem</t>
  </si>
  <si>
    <t>0.85 (strong)</t>
  </si>
  <si>
    <t>Atheist / Materialist</t>
  </si>
  <si>
    <t>Universe has discoverable moral architecture</t>
  </si>
  <si>
    <t>Pragmatist</t>
  </si>
  <si>
    <t>Framework survives or dies on the math</t>
  </si>
  <si>
    <t>S (Strong Force/Love)</t>
  </si>
  <si>
    <t>Law IV — Strong Force ↔ Love</t>
  </si>
  <si>
    <t>Mathematical derivation</t>
  </si>
  <si>
    <t>Quantum</t>
  </si>
  <si>
    <t>Tested — partially held</t>
  </si>
  <si>
    <t>N/A</t>
  </si>
  <si>
    <t>Genesis to Quantum</t>
  </si>
  <si>
    <t>Speculative</t>
  </si>
  <si>
    <t>Cosmetic — presentation issue</t>
  </si>
  <si>
    <t>Deferred</t>
  </si>
  <si>
    <t>Unknown — needs more work</t>
  </si>
  <si>
    <t>0.80 (good)</t>
  </si>
  <si>
    <t>Pantheist</t>
  </si>
  <si>
    <t>Mathematics is the language of both physics and theology</t>
  </si>
  <si>
    <t>Cross-domain coherence as truth criterion</t>
  </si>
  <si>
    <t>Other (specify)</t>
  </si>
  <si>
    <t>T (Thermodynamics/Judgment)</t>
  </si>
  <si>
    <t>Law V — Thermodynamics ↔ Judgment</t>
  </si>
  <si>
    <t>Axiomatic derivation from Theophysics framework</t>
  </si>
  <si>
    <t>Scripture</t>
  </si>
  <si>
    <t>Tested — FAILED</t>
  </si>
  <si>
    <t>Dr. Thesis Unit</t>
  </si>
  <si>
    <t>Boundary</t>
  </si>
  <si>
    <t>Inconclusive</t>
  </si>
  <si>
    <t>0.75 (moderate)</t>
  </si>
  <si>
    <t>Panentheist</t>
  </si>
  <si>
    <t>Bayesian + Falsificationist</t>
  </si>
  <si>
    <t>K (Information/Logos)</t>
  </si>
  <si>
    <t>Law VI — Information ↔ Logos</t>
  </si>
  <si>
    <t>Experimental correlation (specify dataset)</t>
  </si>
  <si>
    <t>Evidence/Data</t>
  </si>
  <si>
    <t>Standalone</t>
  </si>
  <si>
    <t>0.70 (suggestive)</t>
  </si>
  <si>
    <t>Process Theology</t>
  </si>
  <si>
    <t>R (Relativity/Relationship)</t>
  </si>
  <si>
    <t>Law VII — Relativity ↔ Relationship</t>
  </si>
  <si>
    <t>Biblical calibration</t>
  </si>
  <si>
    <t>Information Theory</t>
  </si>
  <si>
    <t>0.60 (weak)</t>
  </si>
  <si>
    <t>Buddhist</t>
  </si>
  <si>
    <t>Q (Quantum/Faith)</t>
  </si>
  <si>
    <t>Law VIII — Quantum ↔ Faith</t>
  </si>
  <si>
    <t>Cross-civilizational validation</t>
  </si>
  <si>
    <t>History</t>
  </si>
  <si>
    <t>0.50 (coin flip)</t>
  </si>
  <si>
    <t>Islamic Monotheist</t>
  </si>
  <si>
    <t>F (Weak Force/Sin)</t>
  </si>
  <si>
    <t>Law IX — Weak Force ↔ Sin</t>
  </si>
  <si>
    <t>Statistical analysis</t>
  </si>
  <si>
    <t>Psychology</t>
  </si>
  <si>
    <t>Below 0.50 (dubious)</t>
  </si>
  <si>
    <t>Hindu Non-Dualist</t>
  </si>
  <si>
    <t>C (Coherence/Christ)</t>
  </si>
  <si>
    <t>Law X — Coherence ↔ Christ</t>
  </si>
  <si>
    <t>Computational verification (JAX/SymPy)</t>
  </si>
  <si>
    <t>Sociology</t>
  </si>
  <si>
    <t>Secular Humanist</t>
  </si>
  <si>
    <t>Economics</t>
  </si>
  <si>
    <t>Linguistics</t>
  </si>
  <si>
    <t>DEFENSE RECORD — Live Adversarial Session</t>
  </si>
  <si>
    <t>"The current defense is theater. Replace it with a real adversarial session."</t>
  </si>
  <si>
    <t>📋  SESSION METADATA</t>
  </si>
  <si>
    <t>Thesis Unit</t>
  </si>
  <si>
    <t>[DT-XXX]</t>
  </si>
  <si>
    <t>Candidate</t>
  </si>
  <si>
    <t>Designated Attacker</t>
  </si>
  <si>
    <t>[Name / AI system / Role]</t>
  </si>
  <si>
    <t>Attacker's Field</t>
  </si>
  <si>
    <t>[Must be OUTSIDE thesis domain]</t>
  </si>
  <si>
    <t>Duration</t>
  </si>
  <si>
    <t>[e.g., 2 hours]</t>
  </si>
  <si>
    <t>Format</t>
  </si>
  <si>
    <t>[Live / Async / Multi-session]</t>
  </si>
  <si>
    <t>⚔️  PRE-DEFENSE: ATTACKER'S OPENING POSITION</t>
  </si>
  <si>
    <t>Attacker's Worldview</t>
  </si>
  <si>
    <t>[Biaxiosum for the attacker — what are THEIR priors?]</t>
  </si>
  <si>
    <t>Primary Line of Attack</t>
  </si>
  <si>
    <t>[What did they come to break?]</t>
  </si>
  <si>
    <t>Strongest Pre-Submitted Objection</t>
  </si>
  <si>
    <t>[Written before the session — their best shot with full prep time]</t>
  </si>
  <si>
    <t>🥊  THE EXCHANGE</t>
  </si>
  <si>
    <t>Round 1</t>
  </si>
  <si>
    <t>Topic</t>
  </si>
  <si>
    <t>[What was argued about]</t>
  </si>
  <si>
    <t>Attack</t>
  </si>
  <si>
    <t>[The objection]</t>
  </si>
  <si>
    <t>Defense</t>
  </si>
  <si>
    <t>[How it was answered]</t>
  </si>
  <si>
    <t>Outcome</t>
  </si>
  <si>
    <t>Round 2</t>
  </si>
  <si>
    <t>Round 3</t>
  </si>
  <si>
    <t>Round 4</t>
  </si>
  <si>
    <t>Round 5</t>
  </si>
  <si>
    <t>💀  WHAT BROKE</t>
  </si>
  <si>
    <t>What Broke</t>
  </si>
  <si>
    <t>How It Broke</t>
  </si>
  <si>
    <t>🛡️  WHAT SURVIVED</t>
  </si>
  <si>
    <t>What Survived</t>
  </si>
  <si>
    <t>Attack It Withstood</t>
  </si>
  <si>
    <t>Why It Held</t>
  </si>
  <si>
    <t>⚖️  VERDICT</t>
  </si>
  <si>
    <t>Overall</t>
  </si>
  <si>
    <t>Strongest Moment</t>
  </si>
  <si>
    <t>[The exchange where the thesis was most convincingly defended]</t>
  </si>
  <si>
    <t>Weakest Moment</t>
  </si>
  <si>
    <t>[The exchange where the thesis was most vulnerable]</t>
  </si>
  <si>
    <t>Attacker's Assessment</t>
  </si>
  <si>
    <t>[Did the attacker concede any ground?]</t>
  </si>
  <si>
    <t>New Kill Conditions</t>
  </si>
  <si>
    <t>[Add these to the Destruction Manual]</t>
  </si>
  <si>
    <t>[Your papthe bank first alarm company called back is that right now getting zones S stairwell er title]</t>
  </si>
  <si>
    <t>PAPER II: THE ADVERSARIAL RESPONSE</t>
  </si>
  <si>
    <t>The candidate steelmans the strongest objection, then lets the idea respond. If it survives, it earned survival. If it breaks, we learn where.</t>
  </si>
  <si>
    <t>Objector's Foundational Axiom</t>
  </si>
  <si>
    <t>[The bedrock assumption of the STRONGEST critic. Not a strawman.]</t>
  </si>
  <si>
    <t>My Foundational Axiom (from Paper I)</t>
  </si>
  <si>
    <t>[Restate for contrast]</t>
  </si>
  <si>
    <t>[F]  FIND — THE STRONGEST OBJECTION</t>
  </si>
  <si>
    <t>What is the most damaging attack on Paper I's claim? Not a nitpick. The one that breaks the core argument.</t>
  </si>
  <si>
    <t>Objector's Position</t>
  </si>
  <si>
    <t>[2-3 paragraphs. Write AS the objector. Inhabit the worldview. Make the case as well as its best advocates would.]</t>
  </si>
  <si>
    <t>Why This Objection Is Serious</t>
  </si>
  <si>
    <t>[What specifically does it threaten? Which step does it attack? What breaks downstream?]</t>
  </si>
  <si>
    <t>Objector's Worldview Table</t>
  </si>
  <si>
    <t>Element</t>
  </si>
  <si>
    <t>Their Position</t>
  </si>
  <si>
    <t>Core Assumption</t>
  </si>
  <si>
    <t>[e.g., Math is abstract, necessary, mind-independent, but not personal]</t>
  </si>
  <si>
    <t>What They Accept</t>
  </si>
  <si>
    <t>[Which of your premises they grant]</t>
  </si>
  <si>
    <t>Where They Break</t>
  </si>
  <si>
    <t>[The exact step where they diverge]</t>
  </si>
  <si>
    <t>[A]  ADMIT — WHERE THEY'RE RIGHT</t>
  </si>
  <si>
    <t>Intellectual honesty requires acknowledging the objection's genuine force before responding.</t>
  </si>
  <si>
    <t>Concession 1</t>
  </si>
  <si>
    <t>[Something genuinely true in their critique]</t>
  </si>
  <si>
    <t>Concession 2</t>
  </si>
  <si>
    <t>Concession 3</t>
  </si>
  <si>
    <t>What I Cannot Currently Answer</t>
  </si>
  <si>
    <t>[Residual gap. Name it. This is strength, not weakness.]</t>
  </si>
  <si>
    <t>[C]  CLAIM — THE RESPONSE</t>
  </si>
  <si>
    <t>The objection fails because (one sentence):</t>
  </si>
  <si>
    <t>Core Rebuttal</t>
  </si>
  <si>
    <t>[One sentence. The core reason the objection doesn't hold.]</t>
  </si>
  <si>
    <t>Response 1</t>
  </si>
  <si>
    <t>[Full argument. Show the logical chain. Identify where the objection's reasoning breaks.]</t>
  </si>
  <si>
    <t>Response 2</t>
  </si>
  <si>
    <t>[Second independent argument. Different angle.]</t>
  </si>
  <si>
    <t>Response 3</t>
  </si>
  <si>
    <t>[Third argument. Ideally flips the objection into evidence FOR your position.]</t>
  </si>
  <si>
    <t>[T]  TEST — THE COLLISION</t>
  </si>
  <si>
    <t>Direct comparison:</t>
  </si>
  <si>
    <t>Criterion</t>
  </si>
  <si>
    <t>Paper I's Claim</t>
  </si>
  <si>
    <t>The Objection</t>
  </si>
  <si>
    <t>Who Wins?</t>
  </si>
  <si>
    <t>Explanatory scope</t>
  </si>
  <si>
    <t>[How well does it explain?]</t>
  </si>
  <si>
    <t>Internal consistency</t>
  </si>
  <si>
    <t>[Self-contradictions?]</t>
  </si>
  <si>
    <t>Falsifiability</t>
  </si>
  <si>
    <t>[Can it be killed?]</t>
  </si>
  <si>
    <t>Cross-domain coherence</t>
  </si>
  <si>
    <t>[Does it hold across domains?]</t>
  </si>
  <si>
    <t>Predictive power</t>
  </si>
  <si>
    <t>[Does it predict new observations?]</t>
  </si>
  <si>
    <t>The Decisive Test</t>
  </si>
  <si>
    <t>[What single piece of evidence or logical step settles this?]</t>
  </si>
  <si>
    <t>[S]  SNAP — KILL CONDITIONS (for both sides)</t>
  </si>
  <si>
    <t>What would kill MY response:</t>
  </si>
  <si>
    <t>[How to destroy this response]</t>
  </si>
  <si>
    <t>What would kill THE OBJECTION:</t>
  </si>
  <si>
    <t>[How to destroy the objection]</t>
  </si>
  <si>
    <t>Did the idea survive?</t>
  </si>
  <si>
    <t>What was learned?</t>
  </si>
  <si>
    <t>[What's stronger now? What boundary was clarified?]</t>
  </si>
  <si>
    <t>What remains open?</t>
  </si>
  <si>
    <t>[Unresolved tensions that need future work]</t>
  </si>
  <si>
    <t>Format: Lowe FACTS Format v1.0 (Adversarial Variant)</t>
  </si>
  <si>
    <t>Thesis Unit: [auto from Paper I]</t>
  </si>
  <si>
    <t>Paper: II (Adversarial Response)</t>
  </si>
  <si>
    <t>Objector Worldview: [Named]</t>
  </si>
  <si>
    <t>Date: YYYY-MM-DD</t>
  </si>
  <si>
    <t>Survival Status: [Survived / Partially / Failed]</t>
  </si>
  <si>
    <t>Who Wins</t>
  </si>
  <si>
    <t>Paper I</t>
  </si>
  <si>
    <t>Draw</t>
  </si>
  <si>
    <t>Survival</t>
  </si>
  <si>
    <t>Yes</t>
  </si>
  <si>
    <t>Partially</t>
  </si>
  <si>
    <t>No</t>
  </si>
  <si>
    <t>PROFESSION WORD CLUSTERS — Semantic Trigger Engine</t>
  </si>
  <si>
    <t>Select a role → clusters auto-populate tags, search terms, and cognitive framing for analysis sections.</t>
  </si>
  <si>
    <t>🧠  ROLE → CLUSTER MAPPING</t>
  </si>
  <si>
    <t>Role</t>
  </si>
  <si>
    <t>Cognitive Operator</t>
  </si>
  <si>
    <t>Term 1</t>
  </si>
  <si>
    <t>Wt</t>
  </si>
  <si>
    <t>Term 2</t>
  </si>
  <si>
    <t>Term 3</t>
  </si>
  <si>
    <t>Term 4</t>
  </si>
  <si>
    <t>Term 5</t>
  </si>
  <si>
    <t>Term 6</t>
  </si>
  <si>
    <t>Term 7</t>
  </si>
  <si>
    <t>Term 8</t>
  </si>
  <si>
    <t>Term 9</t>
  </si>
  <si>
    <t>Term 10</t>
  </si>
  <si>
    <t>Negative Tags (NOT these)</t>
  </si>
  <si>
    <t>Physicist</t>
  </si>
  <si>
    <t>Look for invariants</t>
  </si>
  <si>
    <t>field</t>
  </si>
  <si>
    <t>energy</t>
  </si>
  <si>
    <t>symmetry</t>
  </si>
  <si>
    <t>conservation</t>
  </si>
  <si>
    <t>interaction</t>
  </si>
  <si>
    <t>force</t>
  </si>
  <si>
    <t>entropy</t>
  </si>
  <si>
    <t>quantum</t>
  </si>
  <si>
    <t>spacetime</t>
  </si>
  <si>
    <t>tensor</t>
  </si>
  <si>
    <t>precedent, liability, jurisdiction, statute, compliance</t>
  </si>
  <si>
    <t>Lawyer</t>
  </si>
  <si>
    <t>Look for rule violations</t>
  </si>
  <si>
    <t>precedent</t>
  </si>
  <si>
    <t>statute</t>
  </si>
  <si>
    <t>liability</t>
  </si>
  <si>
    <t>jurisdiction</t>
  </si>
  <si>
    <t>contract</t>
  </si>
  <si>
    <t>evidence</t>
  </si>
  <si>
    <t>argument</t>
  </si>
  <si>
    <t>interpretation</t>
  </si>
  <si>
    <t>rights</t>
  </si>
  <si>
    <t>compliance</t>
  </si>
  <si>
    <t>entropy, tensor, spacetime, quantum, field</t>
  </si>
  <si>
    <t>Doctor</t>
  </si>
  <si>
    <t>Map symptoms → cause</t>
  </si>
  <si>
    <t>diagnosis</t>
  </si>
  <si>
    <t>pathology</t>
  </si>
  <si>
    <t>symptoms</t>
  </si>
  <si>
    <t>treatment</t>
  </si>
  <si>
    <t>prognosis</t>
  </si>
  <si>
    <t>etiology</t>
  </si>
  <si>
    <t>risk</t>
  </si>
  <si>
    <t>intervention</t>
  </si>
  <si>
    <t>patient</t>
  </si>
  <si>
    <t>clinical</t>
  </si>
  <si>
    <t>tensor, recursion, equilibrium, spacetime, algorithm</t>
  </si>
  <si>
    <t>Engineer</t>
  </si>
  <si>
    <t>Build under constraints</t>
  </si>
  <si>
    <t>system</t>
  </si>
  <si>
    <t>design</t>
  </si>
  <si>
    <t>constraints</t>
  </si>
  <si>
    <t>optimization</t>
  </si>
  <si>
    <t>efficiency</t>
  </si>
  <si>
    <t>failure</t>
  </si>
  <si>
    <t>load</t>
  </si>
  <si>
    <t>architecture</t>
  </si>
  <si>
    <t>process</t>
  </si>
  <si>
    <t>implementation</t>
  </si>
  <si>
    <t>precedent, statute, pathology, prognosis, conditioning</t>
  </si>
  <si>
    <t>Economist</t>
  </si>
  <si>
    <t>Model behavior under constraints</t>
  </si>
  <si>
    <t>supply</t>
  </si>
  <si>
    <t>demand</t>
  </si>
  <si>
    <t>equilibrium</t>
  </si>
  <si>
    <t>incentive</t>
  </si>
  <si>
    <t>utility</t>
  </si>
  <si>
    <t>market</t>
  </si>
  <si>
    <t>elasticity</t>
  </si>
  <si>
    <t>growth</t>
  </si>
  <si>
    <t>scarcity</t>
  </si>
  <si>
    <t>tradeoff</t>
  </si>
  <si>
    <t>tensor, spacetime, pathology, diagnosis, recursion</t>
  </si>
  <si>
    <t>Psychologist</t>
  </si>
  <si>
    <t>Model internal systems</t>
  </si>
  <si>
    <t>cognition</t>
  </si>
  <si>
    <t>behavior</t>
  </si>
  <si>
    <t>bias</t>
  </si>
  <si>
    <t>perception</t>
  </si>
  <si>
    <t>memory</t>
  </si>
  <si>
    <t>emotion</t>
  </si>
  <si>
    <t>learning</t>
  </si>
  <si>
    <t>motivation</t>
  </si>
  <si>
    <t>conditioning</t>
  </si>
  <si>
    <t>identity</t>
  </si>
  <si>
    <t>tensor, field, jurisdiction, statute, spacetime</t>
  </si>
  <si>
    <t>Computer Scientist</t>
  </si>
  <si>
    <t>Formalize process + transformation</t>
  </si>
  <si>
    <t>algorithm</t>
  </si>
  <si>
    <t>complexity</t>
  </si>
  <si>
    <t>data</t>
  </si>
  <si>
    <t>structure</t>
  </si>
  <si>
    <t>abstraction</t>
  </si>
  <si>
    <t>computation</t>
  </si>
  <si>
    <t>logic</t>
  </si>
  <si>
    <t>recursion</t>
  </si>
  <si>
    <t>state</t>
  </si>
  <si>
    <t>precedent, pathology, prognosis, jurisdiction, etiology</t>
  </si>
  <si>
    <t>Statistician</t>
  </si>
  <si>
    <t>Quantify uncertainty</t>
  </si>
  <si>
    <t>distribution</t>
  </si>
  <si>
    <t>variance</t>
  </si>
  <si>
    <t>correlation</t>
  </si>
  <si>
    <t>inference</t>
  </si>
  <si>
    <t>probability</t>
  </si>
  <si>
    <t>regression</t>
  </si>
  <si>
    <t>sampling</t>
  </si>
  <si>
    <t>noise</t>
  </si>
  <si>
    <t>signal</t>
  </si>
  <si>
    <t>model</t>
  </si>
  <si>
    <t>precedent, statute, liability, pathology, jurisdiction</t>
  </si>
  <si>
    <t>🔄  CROSS-DOMAIN INTERPRETATION ENGINE</t>
  </si>
  <si>
    <t>Same question → different interpretation engines. When a role is selected, THIS is how they read the claim.</t>
  </si>
  <si>
    <t>"Is this system fair?"</t>
  </si>
  <si>
    <t>"Is this claim true?"</t>
  </si>
  <si>
    <t>"Does this model work?"</t>
  </si>
  <si>
    <t>"What breaks first?"</t>
  </si>
  <si>
    <t>"What's missing?"</t>
  </si>
  <si>
    <t>symmetry / invariance</t>
  </si>
  <si>
    <t>conservation / measurement</t>
  </si>
  <si>
    <t>boundary conditions / stability</t>
  </si>
  <si>
    <t>entropy increase / phase transition</t>
  </si>
  <si>
    <t>force / field not accounted for</t>
  </si>
  <si>
    <t>rights / liability / precedent</t>
  </si>
  <si>
    <t>evidence / burden of proof</t>
  </si>
  <si>
    <t>compliance / jurisdiction</t>
  </si>
  <si>
    <t>contract breach / statute conflict</t>
  </si>
  <si>
    <t>unaddressed counterargument</t>
  </si>
  <si>
    <t>harm / benefit balance</t>
  </si>
  <si>
    <t>differential diagnosis / etiology</t>
  </si>
  <si>
    <t>treatment efficacy / outcomes</t>
  </si>
  <si>
    <t>contraindication / side effect</t>
  </si>
  <si>
    <t>undiagnosed comorbidity</t>
  </si>
  <si>
    <t>load distribution / tolerance</t>
  </si>
  <si>
    <t>specification / test results</t>
  </si>
  <si>
    <t>efficiency / constraint satisfaction</t>
  </si>
  <si>
    <t>single point of failure / fatigue</t>
  </si>
  <si>
    <t>untested edge case</t>
  </si>
  <si>
    <t>incentives / distribution</t>
  </si>
  <si>
    <t>equilibrium / market signal</t>
  </si>
  <si>
    <t>supply-demand match / elasticity</t>
  </si>
  <si>
    <t>perverse incentive / market failure</t>
  </si>
  <si>
    <t>externality not priced</t>
  </si>
  <si>
    <t>perception / bias</t>
  </si>
  <si>
    <t>cognitive load / framing effect</t>
  </si>
  <si>
    <t>behavior change / conditioning</t>
  </si>
  <si>
    <t>cognitive dissonance / blind spot</t>
  </si>
  <si>
    <t>unconscious motivation</t>
  </si>
  <si>
    <t>state access / permissions</t>
  </si>
  <si>
    <t>logical consistency / halting</t>
  </si>
  <si>
    <t>runtime / space complexity</t>
  </si>
  <si>
    <t>infinite loop / stack overflow</t>
  </si>
  <si>
    <t>unhandled edge case / null state</t>
  </si>
  <si>
    <t>distribution shape / selection bias</t>
  </si>
  <si>
    <t>p-value / confidence interval</t>
  </si>
  <si>
    <t>fit / residuals / prediction error</t>
  </si>
  <si>
    <t>overfitting / confound / noise</t>
  </si>
  <si>
    <t>unmeasured variable / power</t>
  </si>
  <si>
    <t>7Q RIGOR CARD</t>
  </si>
  <si>
    <t>7Q LLM Maximum Rigor — Autonomous Analysis Engine</t>
  </si>
  <si>
    <t>🏆  DISPLAY CARD</t>
  </si>
  <si>
    <t>Paper Title</t>
  </si>
  <si>
    <t>[Paper title]</t>
  </si>
  <si>
    <t>Confidence Label</t>
  </si>
  <si>
    <t>T Score (Final)</t>
  </si>
  <si>
    <t>CKG Score</t>
  </si>
  <si>
    <t>Core Claim</t>
  </si>
  <si>
    <t>Claim (short)</t>
  </si>
  <si>
    <t>[One sentence core claim]</t>
  </si>
  <si>
    <t>Strongest Q</t>
  </si>
  <si>
    <t>Weakest Q</t>
  </si>
  <si>
    <t>Kill Threat</t>
  </si>
  <si>
    <t>[kill count] kill conditions | Most dangerous:</t>
  </si>
  <si>
    <t>ISO Status</t>
  </si>
  <si>
    <t>Domain Count</t>
  </si>
  <si>
    <t>[#]</t>
  </si>
  <si>
    <t>Bundled Claims</t>
  </si>
  <si>
    <t>[#] independently killable claims</t>
  </si>
  <si>
    <t>At A Glance</t>
  </si>
  <si>
    <t>Effective n</t>
  </si>
  <si>
    <t>Decisive Test</t>
  </si>
  <si>
    <t>[One-line decisive test]</t>
  </si>
  <si>
    <t>Theory Mappings</t>
  </si>
  <si>
    <t>📊  SCORING ENGINE</t>
  </si>
  <si>
    <t>Per-Question Scores (0.00 – 1.00)</t>
  </si>
  <si>
    <t>Q#</t>
  </si>
  <si>
    <t>Question</t>
  </si>
  <si>
    <t>Score</t>
  </si>
  <si>
    <t>Explanation</t>
  </si>
  <si>
    <t>Q0</t>
  </si>
  <si>
    <t>Posture</t>
  </si>
  <si>
    <t>[Brief rationale]</t>
  </si>
  <si>
    <t>Q1</t>
  </si>
  <si>
    <t>Identity</t>
  </si>
  <si>
    <t>Q2</t>
  </si>
  <si>
    <t>Domain</t>
  </si>
  <si>
    <t>Q3</t>
  </si>
  <si>
    <t>Assertion</t>
  </si>
  <si>
    <t>Q4</t>
  </si>
  <si>
    <t>Evidence</t>
  </si>
  <si>
    <t>Q5</t>
  </si>
  <si>
    <t>Dependencies</t>
  </si>
  <si>
    <t>Q6</t>
  </si>
  <si>
    <t>Consequences</t>
  </si>
  <si>
    <t>Q7</t>
  </si>
  <si>
    <t>Falsification</t>
  </si>
  <si>
    <t>📝  THREE-CHANNEL EVIDENCE CALCULATOR</t>
  </si>
  <si>
    <t>Channel 1: Phenomenon Strength (PS)</t>
  </si>
  <si>
    <t>Component</t>
  </si>
  <si>
    <t>Score (0-1)</t>
  </si>
  <si>
    <t>Weight</t>
  </si>
  <si>
    <t>Weighted</t>
  </si>
  <si>
    <t>Reproducibility</t>
  </si>
  <si>
    <t>Effect Size</t>
  </si>
  <si>
    <t>Measurement Quality</t>
  </si>
  <si>
    <t>PS =</t>
  </si>
  <si>
    <t>Channel 2: Explanatory Depth (ED)</t>
  </si>
  <si>
    <t>Mechanism</t>
  </si>
  <si>
    <t>Constraints</t>
  </si>
  <si>
    <t>Scope</t>
  </si>
  <si>
    <t>ED =</t>
  </si>
  <si>
    <t>Channel 3: Experiential Coherence (EC)</t>
  </si>
  <si>
    <t>Consistency</t>
  </si>
  <si>
    <t>Stability</t>
  </si>
  <si>
    <t>Transformation</t>
  </si>
  <si>
    <t>Pattern</t>
  </si>
  <si>
    <t>EC =</t>
  </si>
  <si>
    <t>⚙️  CATEGORY WEIGHTS (dropdown → auto-weight)</t>
  </si>
  <si>
    <t>Category</t>
  </si>
  <si>
    <t>Selection</t>
  </si>
  <si>
    <t>Entity Type</t>
  </si>
  <si>
    <t>Precision Level</t>
  </si>
  <si>
    <t>Evidence Type</t>
  </si>
  <si>
    <t>Terminus Type</t>
  </si>
  <si>
    <t>🎯  TRUTH SCORE CALCULATION</t>
  </si>
  <si>
    <t>Value</t>
  </si>
  <si>
    <t>S (Survivability)</t>
  </si>
  <si>
    <t>← Q7</t>
  </si>
  <si>
    <t>E (Evidence)</t>
  </si>
  <si>
    <t>← Q4</t>
  </si>
  <si>
    <t>L (Logic)</t>
  </si>
  <si>
    <t>← Q3 × ED</t>
  </si>
  <si>
    <t>D (Dependencies)</t>
  </si>
  <si>
    <t>← Q5</t>
  </si>
  <si>
    <t>P (Predictions)</t>
  </si>
  <si>
    <t>← Q6</t>
  </si>
  <si>
    <t>C (Coherence)</t>
  </si>
  <si>
    <t>← Q2</t>
  </si>
  <si>
    <t>T_RAW</t>
  </si>
  <si>
    <t>(S+E+L+D+P+C) / 6</t>
  </si>
  <si>
    <t>Cross-Domain Multiplier</t>
  </si>
  <si>
    <t>← from ISO Status</t>
  </si>
  <si>
    <t>T_FINAL</t>
  </si>
  <si>
    <t>T_RAW × Multiplier</t>
  </si>
  <si>
    <t>Confidence Class</t>
  </si>
  <si>
    <t>📚  WEIGHT REFERENCE TABLES</t>
  </si>
  <si>
    <t>Precision</t>
  </si>
  <si>
    <t>theorem</t>
  </si>
  <si>
    <t>law</t>
  </si>
  <si>
    <t>equation</t>
  </si>
  <si>
    <t>theory</t>
  </si>
  <si>
    <t>mechanism</t>
  </si>
  <si>
    <t>observation</t>
  </si>
  <si>
    <t>hypothesis</t>
  </si>
  <si>
    <t>conjecture</t>
  </si>
  <si>
    <t>claim</t>
  </si>
  <si>
    <t>precise</t>
  </si>
  <si>
    <t>mathematical</t>
  </si>
  <si>
    <t>detailed</t>
  </si>
  <si>
    <t>basic</t>
  </si>
  <si>
    <t>vague</t>
  </si>
  <si>
    <t>experimental</t>
  </si>
  <si>
    <t>computational</t>
  </si>
  <si>
    <t>observational</t>
  </si>
  <si>
    <t>meta_analytic</t>
  </si>
  <si>
    <t>statistical</t>
  </si>
  <si>
    <t>historical</t>
  </si>
  <si>
    <t>case_study</t>
  </si>
  <si>
    <t>testimonial</t>
  </si>
  <si>
    <t>phenomenological</t>
  </si>
  <si>
    <t>scriptural*</t>
  </si>
  <si>
    <t>analogical</t>
  </si>
  <si>
    <t>axiom</t>
  </si>
  <si>
    <t>empirical</t>
  </si>
  <si>
    <t>brute_fact</t>
  </si>
  <si>
    <t>consensus</t>
  </si>
  <si>
    <t>authority</t>
  </si>
  <si>
    <t>revelation*</t>
  </si>
  <si>
    <t>circular</t>
  </si>
  <si>
    <t>infinite</t>
  </si>
  <si>
    <t>Multiplier</t>
  </si>
  <si>
    <t>ISO-CONFIRMED 3+</t>
  </si>
  <si>
    <t>ISO-CONFIRMED 2</t>
  </si>
  <si>
    <t>ISO-PARALLEL 3+</t>
  </si>
  <si>
    <t>ISO-PARALLEL 2</t>
  </si>
  <si>
    <t>ISO-ANALOGY</t>
  </si>
  <si>
    <t>DOMAIN-BOUND</t>
  </si>
  <si>
    <t>Terminus</t>
  </si>
  <si>
    <t>7Q Paper Type</t>
  </si>
  <si>
    <t>foundational</t>
  </si>
  <si>
    <t>bridge</t>
  </si>
  <si>
    <t>adversarial</t>
  </si>
  <si>
    <t>application</t>
  </si>
  <si>
    <t>destruction_manual</t>
  </si>
  <si>
    <t>Ontological Status</t>
  </si>
  <si>
    <t>derived</t>
  </si>
  <si>
    <t>structural</t>
  </si>
  <si>
    <t>processual</t>
  </si>
  <si>
    <t>relational</t>
  </si>
  <si>
    <t>dispositional</t>
  </si>
  <si>
    <t>Epistemological Mode</t>
  </si>
  <si>
    <t>deductive</t>
  </si>
  <si>
    <t>inductive</t>
  </si>
  <si>
    <t>abductive</t>
  </si>
  <si>
    <t>transcendental</t>
  </si>
  <si>
    <t>revelatory</t>
  </si>
  <si>
    <t>Inquiry Type</t>
  </si>
  <si>
    <t>causal</t>
  </si>
  <si>
    <t>descriptive</t>
  </si>
  <si>
    <t>predictive</t>
  </si>
  <si>
    <t>normative</t>
  </si>
  <si>
    <t>mechanistic</t>
  </si>
  <si>
    <t>constitutive</t>
  </si>
  <si>
    <t>correlational</t>
  </si>
  <si>
    <t>existential</t>
  </si>
  <si>
    <t>Cross-Domain Status</t>
  </si>
  <si>
    <t>ISO-CONFIRMED</t>
  </si>
  <si>
    <t>ISO-PARALLEL</t>
  </si>
  <si>
    <t>BRIDGE</t>
  </si>
  <si>
    <t>Evidence Strength</t>
  </si>
  <si>
    <t>conclusive</t>
  </si>
  <si>
    <t>strong</t>
  </si>
  <si>
    <t>moderate</t>
  </si>
  <si>
    <t>suggestive</t>
  </si>
  <si>
    <t>weak</t>
  </si>
  <si>
    <t>contested</t>
  </si>
  <si>
    <t>Connection Type</t>
  </si>
  <si>
    <t>direct_test</t>
  </si>
  <si>
    <t>indirect_test</t>
  </si>
  <si>
    <t>analogy</t>
  </si>
  <si>
    <t>necessary</t>
  </si>
  <si>
    <t>sufficient</t>
  </si>
  <si>
    <t>corroborating</t>
  </si>
  <si>
    <t>Uniqueness</t>
  </si>
  <si>
    <t>exclusive</t>
  </si>
  <si>
    <t>discriminating</t>
  </si>
  <si>
    <t>ambiguous</t>
  </si>
  <si>
    <t>generic</t>
  </si>
  <si>
    <t>Vulnerability Flags</t>
  </si>
  <si>
    <t>WHY-PENALTY</t>
  </si>
  <si>
    <t>NO_LIVED_VALIDITY</t>
  </si>
  <si>
    <t>UNFALSIFIABLE</t>
  </si>
  <si>
    <t>UNGROUNDED</t>
  </si>
  <si>
    <t>UNDEFINED</t>
  </si>
  <si>
    <t>SELECTION_BIAS</t>
  </si>
  <si>
    <t>SURVIVORSHIP_BIAS</t>
  </si>
  <si>
    <t>CONFIRMATION_BIAS</t>
  </si>
  <si>
    <t>P-HACKING</t>
  </si>
  <si>
    <t>SMALL_N</t>
  </si>
  <si>
    <t>SINGLE_SOURCE</t>
  </si>
  <si>
    <t>UNREPLICATED</t>
  </si>
  <si>
    <t>CIRCULAR</t>
  </si>
  <si>
    <t>COMPETING_MODEL</t>
  </si>
  <si>
    <t>Repro Status</t>
  </si>
  <si>
    <t>replicated</t>
  </si>
  <si>
    <t>partial</t>
  </si>
  <si>
    <t>unreplicated</t>
  </si>
  <si>
    <t>not_applicable</t>
  </si>
  <si>
    <t>in_principle</t>
  </si>
  <si>
    <t>Effect Magnitude</t>
  </si>
  <si>
    <t>negligible</t>
  </si>
  <si>
    <t>small</t>
  </si>
  <si>
    <t>medium</t>
  </si>
  <si>
    <t>large</t>
  </si>
  <si>
    <t>overwhelming</t>
  </si>
  <si>
    <t>Mechanism Type</t>
  </si>
  <si>
    <t>physical</t>
  </si>
  <si>
    <t>logical</t>
  </si>
  <si>
    <t>biological</t>
  </si>
  <si>
    <t>social</t>
  </si>
  <si>
    <t>theological</t>
  </si>
  <si>
    <t>🔬  PHILOSOPHICAL CLASSIFICATION</t>
  </si>
  <si>
    <t>Before scoring — classify the claim. This determines which evidence types apply.</t>
  </si>
  <si>
    <t>Dimension</t>
  </si>
  <si>
    <t>Description</t>
  </si>
  <si>
    <t>What kind of thing is being claimed?</t>
  </si>
  <si>
    <t>How do we know this? What justification type?</t>
  </si>
  <si>
    <t>What is the claim doing?</t>
  </si>
  <si>
    <t>How far does this apply?</t>
  </si>
  <si>
    <t>Same structure appear in other domains?</t>
  </si>
  <si>
    <t>⚠️  CAPS &amp; PENALTIES (auto-applied)</t>
  </si>
  <si>
    <t>Condition</t>
  </si>
  <si>
    <t>Trigger</t>
  </si>
  <si>
    <t>Effect</t>
  </si>
  <si>
    <t>ED &lt; 0.30</t>
  </si>
  <si>
    <t>E_final capped at 0.50</t>
  </si>
  <si>
    <t>EC &lt; 0.10</t>
  </si>
  <si>
    <t>FLAG — evidence untested in lived reality</t>
  </si>
  <si>
    <t>FALSIFICATION CAP</t>
  </si>
  <si>
    <t>Q7 &lt; 0.30</t>
  </si>
  <si>
    <t>T capped at 0.60</t>
  </si>
  <si>
    <t>PREDICTION CAP</t>
  </si>
  <si>
    <t>Q6 &lt; 0.30</t>
  </si>
  <si>
    <t>T capped at 0.70</t>
  </si>
  <si>
    <t>7Q EVIDENCE PROTOCOL — Per-Item Deep Analysis</t>
  </si>
  <si>
    <t>Evidence without explanation is incomplete. Explanation without evidence is speculation.</t>
  </si>
  <si>
    <t>Evidence Item ID</t>
  </si>
  <si>
    <t>[e.g. EV-001]</t>
  </si>
  <si>
    <t>Linked Sub-Claim</t>
  </si>
  <si>
    <t>[e.g. SC-001]</t>
  </si>
  <si>
    <t>Evidence Description</t>
  </si>
  <si>
    <t>[Brief description of this evidence item]</t>
  </si>
  <si>
    <t>§1 — PHILOSOPHICAL CLASSIFICATION</t>
  </si>
  <si>
    <t>What kind of thing is claimed?</t>
  </si>
  <si>
    <t>How do we know this?</t>
  </si>
  <si>
    <t>How far does it apply?</t>
  </si>
  <si>
    <t>Same structure in other domains?</t>
  </si>
  <si>
    <t>§2 — THREE-CHANNEL EVIDENCE SCORING</t>
  </si>
  <si>
    <t>CHANNEL 1: Phenomenon Strength (PS)</t>
  </si>
  <si>
    <t>Detail</t>
  </si>
  <si>
    <t>[# independent replications]</t>
  </si>
  <si>
    <t>[sigma / p-value / CI]</t>
  </si>
  <si>
    <t>[instrument / blinding / bias risk]</t>
  </si>
  <si>
    <t>CHANNEL 2: Explanatory Depth (ED)</t>
  </si>
  <si>
    <t>[described? formalized? type?]</t>
  </si>
  <si>
    <t>[conservation / symmetry / boundary]</t>
  </si>
  <si>
    <t>[domains / novel predictions]</t>
  </si>
  <si>
    <t>CHANNEL 3: Experiential Coherence (EC)</t>
  </si>
  <si>
    <t>[self-contradictions found?]</t>
  </si>
  <si>
    <t>[time tested / trend]</t>
  </si>
  <si>
    <t>[measurable behavior change?]</t>
  </si>
  <si>
    <t>[independent discoverers / cross-cultural?]</t>
  </si>
  <si>
    <t>§3 — COMPLETENESS &amp; FINAL SCORE</t>
  </si>
  <si>
    <t>CF = (0.5 + 0.5×ED) × (0.5 + 0.5×EC)</t>
  </si>
  <si>
    <t>E_final = PS × CF</t>
  </si>
  <si>
    <t>WHY-PENALTY active?</t>
  </si>
  <si>
    <t>ED &lt; 0.3 → E_final capped at 0.50</t>
  </si>
  <si>
    <t>NO_LIVED_VALIDITY?</t>
  </si>
  <si>
    <t>EC &lt; 0.1 → flag — evidence untested in reality</t>
  </si>
  <si>
    <t>§4 — FIVE EVIDENCE GATES</t>
  </si>
  <si>
    <t>Gate</t>
  </si>
  <si>
    <t>Response</t>
  </si>
  <si>
    <t>Detail / Notes</t>
  </si>
  <si>
    <t>E1: Identity</t>
  </si>
  <si>
    <t>What format is this evidence in?</t>
  </si>
  <si>
    <t>[format]</t>
  </si>
  <si>
    <t>[publication status / DOI / access]</t>
  </si>
  <si>
    <t>E2: Type</t>
  </si>
  <si>
    <t>What epistemic class?</t>
  </si>
  <si>
    <t>[weight in chain: primary/supporting/corroborating]</t>
  </si>
  <si>
    <t>E3: Strength</t>
  </si>
  <si>
    <t>How strong by its own standards?</t>
  </si>
  <si>
    <t>[key metric / methodological concerns]</t>
  </si>
  <si>
    <t>E4: Linkage</t>
  </si>
  <si>
    <t>How does it connect to the claim?</t>
  </si>
  <si>
    <t>[alt explanations / exclusion of alternatives]</t>
  </si>
  <si>
    <t>E5: Vulnerabilities</t>
  </si>
  <si>
    <t>What's wrong or missing?</t>
  </si>
  <si>
    <t>[flags]</t>
  </si>
  <si>
    <t>[critical gap / recommended action]</t>
  </si>
  <si>
    <t>§5 — COMPETING MODELS</t>
  </si>
  <si>
    <t>Exclusive to this claim?</t>
  </si>
  <si>
    <t>[Yes/No]</t>
  </si>
  <si>
    <t>Competing Theory</t>
  </si>
  <si>
    <t>Explains Same Evidence?</t>
  </si>
  <si>
    <t>What It Misses</t>
  </si>
  <si>
    <t>[Theory 1]</t>
  </si>
  <si>
    <t>[Theory 2]</t>
  </si>
  <si>
    <t>[Theory 3]</t>
  </si>
  <si>
    <t>§6 — EVIDENCE CHAIN AUDIT</t>
  </si>
  <si>
    <t>Channel</t>
  </si>
  <si>
    <t>Summary</t>
  </si>
  <si>
    <t>PS</t>
  </si>
  <si>
    <t>[What PS found]</t>
  </si>
  <si>
    <t>ED</t>
  </si>
  <si>
    <t>[What ED found]</t>
  </si>
  <si>
    <t>EC</t>
  </si>
  <si>
    <t>[What EC found]</t>
  </si>
  <si>
    <t>Independence Check</t>
  </si>
  <si>
    <t>Sources truly independent?</t>
  </si>
  <si>
    <t>Independence Score</t>
  </si>
  <si>
    <t>Shared confounders</t>
  </si>
  <si>
    <t>[List shared upstream DNA]</t>
  </si>
  <si>
    <t>Shared methodology</t>
  </si>
  <si>
    <t>[Same dataset / instrument / lens?]</t>
  </si>
  <si>
    <t>Same author?</t>
  </si>
  <si>
    <t>§7 — TRUTH SCORE CONTRIBUTION</t>
  </si>
  <si>
    <t>Q7 falsifiability</t>
  </si>
  <si>
    <t>Q4 E_final = PS × CF</t>
  </si>
  <si>
    <t>mean(Q3 assertion, Q4 ED)</t>
  </si>
  <si>
    <t>Q5 dependency chain depth</t>
  </si>
  <si>
    <t>Q6 predictions generated</t>
  </si>
  <si>
    <t>Q2 cross-domain coherence</t>
  </si>
  <si>
    <t>Overall Narrative</t>
  </si>
  <si>
    <t>[2-3 sentence plain language assessment of this evidence item]</t>
  </si>
  <si>
    <t>§8 — QUICK REFERENCE</t>
  </si>
  <si>
    <t>What It Asks</t>
  </si>
  <si>
    <t>Range</t>
  </si>
  <si>
    <t>Key Metric</t>
  </si>
  <si>
    <t>What do we observe?</t>
  </si>
  <si>
    <t>0-1</t>
  </si>
  <si>
    <t>Repro × Effect × Quality</t>
  </si>
  <si>
    <t>Why does it happen?</t>
  </si>
  <si>
    <t>Mechanism × Constraints × Scope</t>
  </si>
  <si>
    <t>Does it hold in life?</t>
  </si>
  <si>
    <t>Consistency × Stability × Trans × Pattern</t>
  </si>
  <si>
    <t>CF</t>
  </si>
  <si>
    <t>How complete?</t>
  </si>
  <si>
    <t>0.25-1.0</t>
  </si>
  <si>
    <t>(0.5+0.5×ED)(0.5+0.5×EC)</t>
  </si>
  <si>
    <t>E_final</t>
  </si>
  <si>
    <t>Total evidence</t>
  </si>
  <si>
    <t>PS × CF</t>
  </si>
  <si>
    <t>Protocol Version</t>
  </si>
  <si>
    <t>7Q Evidence Protocol v1.0</t>
  </si>
  <si>
    <t>David Lowe · POF 2828 · Theophysics</t>
  </si>
  <si>
    <t>Principle</t>
  </si>
  <si>
    <t>"The method does not guarantee truth. It guarantees transparency."</t>
  </si>
  <si>
    <t>Entity Epistemic</t>
  </si>
  <si>
    <t>postulate</t>
  </si>
  <si>
    <t>Entity Observational</t>
  </si>
  <si>
    <t>evidence_bundle</t>
  </si>
  <si>
    <t>Entity Formal</t>
  </si>
  <si>
    <t>definition</t>
  </si>
  <si>
    <t>operator</t>
  </si>
  <si>
    <t>conservation_law</t>
  </si>
  <si>
    <t>inequality</t>
  </si>
  <si>
    <t>Object Status</t>
  </si>
  <si>
    <t>draft</t>
  </si>
  <si>
    <t>candidate</t>
  </si>
  <si>
    <t>provisional</t>
  </si>
  <si>
    <t>stable</t>
  </si>
  <si>
    <t>canonical</t>
  </si>
  <si>
    <t>deprecated</t>
  </si>
  <si>
    <t>Source Class</t>
  </si>
  <si>
    <t>theophysics_original</t>
  </si>
  <si>
    <t>scripture</t>
  </si>
  <si>
    <t>peer_review</t>
  </si>
  <si>
    <t>commentary</t>
  </si>
  <si>
    <t>speculative</t>
  </si>
  <si>
    <t>anonymous</t>
  </si>
  <si>
    <t>Math Object Type</t>
  </si>
  <si>
    <t>function</t>
  </si>
  <si>
    <t>lagrangian</t>
  </si>
  <si>
    <t>hamiltonian</t>
  </si>
  <si>
    <t>Formalism</t>
  </si>
  <si>
    <t>field_equation</t>
  </si>
  <si>
    <t>lindblad</t>
  </si>
  <si>
    <t>physics</t>
  </si>
  <si>
    <t>biology</t>
  </si>
  <si>
    <t>chemistry</t>
  </si>
  <si>
    <t>consciousness</t>
  </si>
  <si>
    <t>theology</t>
  </si>
  <si>
    <t>moral</t>
  </si>
  <si>
    <t>mathematics</t>
  </si>
  <si>
    <t>information</t>
  </si>
  <si>
    <t>Scale</t>
  </si>
  <si>
    <t>microscopic</t>
  </si>
  <si>
    <t>cellular</t>
  </si>
  <si>
    <t>organism</t>
  </si>
  <si>
    <t>human</t>
  </si>
  <si>
    <t>planetary</t>
  </si>
  <si>
    <t>cosmological</t>
  </si>
  <si>
    <t>metaphysical</t>
  </si>
  <si>
    <t>multi_scale</t>
  </si>
  <si>
    <t>Regime</t>
  </si>
  <si>
    <t>linear</t>
  </si>
  <si>
    <t>nonlinear</t>
  </si>
  <si>
    <t>perturbative</t>
  </si>
  <si>
    <t>non_perturbative</t>
  </si>
  <si>
    <t>non_equilibrium</t>
  </si>
  <si>
    <t>Claim Type</t>
  </si>
  <si>
    <t>ontological</t>
  </si>
  <si>
    <t>symmetry_claim</t>
  </si>
  <si>
    <t>boundary_condition</t>
  </si>
  <si>
    <t>Question Type</t>
  </si>
  <si>
    <t>Type 1: Does X hold?</t>
  </si>
  <si>
    <t>Type 2: What is X?</t>
  </si>
  <si>
    <t>Type 3: What grounds X?</t>
  </si>
  <si>
    <t>Type 4: What must X be?</t>
  </si>
  <si>
    <t>Coherence Prediction</t>
  </si>
  <si>
    <t>increases</t>
  </si>
  <si>
    <t>decreases</t>
  </si>
  <si>
    <t>maintains</t>
  </si>
  <si>
    <t>oscillates</t>
  </si>
  <si>
    <t>none</t>
  </si>
  <si>
    <t>Entropy Relation</t>
  </si>
  <si>
    <t>opposes</t>
  </si>
  <si>
    <t>generates</t>
  </si>
  <si>
    <t>neutral</t>
  </si>
  <si>
    <t>coupled</t>
  </si>
  <si>
    <t>Grace Dependence</t>
  </si>
  <si>
    <t>required</t>
  </si>
  <si>
    <t>enhancing</t>
  </si>
  <si>
    <t>independent</t>
  </si>
  <si>
    <t>Consciousness Role</t>
  </si>
  <si>
    <t>fundamental</t>
  </si>
  <si>
    <t>emergent</t>
  </si>
  <si>
    <t>participatory</t>
  </si>
  <si>
    <t>observer</t>
  </si>
  <si>
    <t>Evidence Tier</t>
  </si>
  <si>
    <t>tier_1</t>
  </si>
  <si>
    <t>tier_2</t>
  </si>
  <si>
    <t>tier_3</t>
  </si>
  <si>
    <t>Proof Method</t>
  </si>
  <si>
    <t>direct</t>
  </si>
  <si>
    <t>contradiction</t>
  </si>
  <si>
    <t>induction</t>
  </si>
  <si>
    <t>construction</t>
  </si>
  <si>
    <t>existence</t>
  </si>
  <si>
    <t>uniqueness</t>
  </si>
  <si>
    <t>Proof Completeness</t>
  </si>
  <si>
    <t>complete</t>
  </si>
  <si>
    <t>sketch</t>
  </si>
  <si>
    <t>conjectured</t>
  </si>
  <si>
    <t>Derivation Method</t>
  </si>
  <si>
    <t>constructive</t>
  </si>
  <si>
    <t>by_contradiction</t>
  </si>
  <si>
    <t>Prediction Type</t>
  </si>
  <si>
    <t>retrodictive</t>
  </si>
  <si>
    <t>explanatory</t>
  </si>
  <si>
    <t>Prediction Status</t>
  </si>
  <si>
    <t>untested</t>
  </si>
  <si>
    <t>confirmed</t>
  </si>
  <si>
    <t>disconfirmed</t>
  </si>
  <si>
    <t>Death Condition</t>
  </si>
  <si>
    <t>self_refutation</t>
  </si>
  <si>
    <t>infinite_regress</t>
  </si>
  <si>
    <t>empirical_contradiction</t>
  </si>
  <si>
    <t>logical_incoherence</t>
  </si>
  <si>
    <t>unsupported</t>
  </si>
  <si>
    <t>Branch Status</t>
  </si>
  <si>
    <t>dead</t>
  </si>
  <si>
    <t>survives</t>
  </si>
  <si>
    <t>problematic</t>
  </si>
  <si>
    <t>terminal</t>
  </si>
  <si>
    <t>Collapse Scope</t>
  </si>
  <si>
    <t>local</t>
  </si>
  <si>
    <t>domain</t>
  </si>
  <si>
    <t>framework</t>
  </si>
  <si>
    <t>Framework Damage</t>
  </si>
  <si>
    <t>minimal</t>
  </si>
  <si>
    <t>severe</t>
  </si>
  <si>
    <t>catastrophic</t>
  </si>
  <si>
    <t>Proof Status</t>
  </si>
  <si>
    <t>open</t>
  </si>
  <si>
    <t>argued</t>
  </si>
  <si>
    <t>tested</t>
  </si>
  <si>
    <t>survived_adversary</t>
  </si>
  <si>
    <t>Debate Resolution</t>
  </si>
  <si>
    <t>unresolved</t>
  </si>
  <si>
    <t>resolved_in_favor</t>
  </si>
  <si>
    <t>resolved_against</t>
  </si>
  <si>
    <t>ongoing</t>
  </si>
  <si>
    <t>7Q UNIVERSAL CLASSIFIER v2.0</t>
  </si>
  <si>
    <t>For anything in the system — ask these seven in order. Every object carries its own death warrant.</t>
  </si>
  <si>
    <t>Q1: WHAT IS IT? (Identity)</t>
  </si>
  <si>
    <t>Core Identity</t>
  </si>
  <si>
    <t>ID</t>
  </si>
  <si>
    <t>[PREFIX-DOMAIN-SEQ]</t>
  </si>
  <si>
    <t>e.g. TP-LAW-007, TP-AX-004</t>
  </si>
  <si>
    <t>[One-sentence description]</t>
  </si>
  <si>
    <t>Epistemic</t>
  </si>
  <si>
    <t>axiom | hypothesis | theory | claim | postulate</t>
  </si>
  <si>
    <t>Observational</t>
  </si>
  <si>
    <t>observation | evidence | evidence_bundle</t>
  </si>
  <si>
    <t>Formal</t>
  </si>
  <si>
    <t>definition | equation | law | mechanism | operator | ...</t>
  </si>
  <si>
    <t>Axiom Class</t>
  </si>
  <si>
    <t>Stability &amp; Status</t>
  </si>
  <si>
    <t>draft → candidate → provisional → stable → canonical</t>
  </si>
  <si>
    <t>Last Reviewed</t>
  </si>
  <si>
    <t>Source Authority</t>
  </si>
  <si>
    <t>Institution</t>
  </si>
  <si>
    <t>Theophysics Research Initiative</t>
  </si>
  <si>
    <t>Reliability (0-5)</t>
  </si>
  <si>
    <t>5=highest (scripture=5, speculative=1)</t>
  </si>
  <si>
    <t>Mathematical Object</t>
  </si>
  <si>
    <t>Type</t>
  </si>
  <si>
    <t>Symbols</t>
  </si>
  <si>
    <t>[e.g. χ, Λ, Ω, G, C]</t>
  </si>
  <si>
    <t>Notation (LaTeX)</t>
  </si>
  <si>
    <t>Graph &amp; Navigation</t>
  </si>
  <si>
    <t>Graph Node ID</t>
  </si>
  <si>
    <t>[e.g. TP_NODE_00214]</t>
  </si>
  <si>
    <t>Importance (1-5)</t>
  </si>
  <si>
    <t>Hub Note?</t>
  </si>
  <si>
    <t>AI Permissions</t>
  </si>
  <si>
    <t>Edit Metadata</t>
  </si>
  <si>
    <t>Edit Body</t>
  </si>
  <si>
    <t>Suggest Changes</t>
  </si>
  <si>
    <t>Auto-Classify</t>
  </si>
  <si>
    <t>Q2: WHAT DOMAIN IS IT IN? (Location)</t>
  </si>
  <si>
    <t>Subdomain</t>
  </si>
  <si>
    <t>[e.g. quantum_mechanics, christology]</t>
  </si>
  <si>
    <t>Cross-Domain Mapping</t>
  </si>
  <si>
    <t>[e.g. entropy as sin decay]</t>
  </si>
  <si>
    <t>[e.g. grace as negentropy]</t>
  </si>
  <si>
    <t>[e.g. observer collapse]</t>
  </si>
  <si>
    <t>Biology</t>
  </si>
  <si>
    <t>[e.g. coherence in neural systems]</t>
  </si>
  <si>
    <t>Moral</t>
  </si>
  <si>
    <t>[e.g. entropy as sin]</t>
  </si>
  <si>
    <t>Information</t>
  </si>
  <si>
    <t>[e.g. Shannon limit correspondence]</t>
  </si>
  <si>
    <t>Mathematics</t>
  </si>
  <si>
    <t>[e.g. group symmetry breaking]</t>
  </si>
  <si>
    <t>Isomorphism</t>
  </si>
  <si>
    <t>Isomorphism Status</t>
  </si>
  <si>
    <t>Isomorphism Target</t>
  </si>
  <si>
    <t>[What it maps to in other domain]</t>
  </si>
  <si>
    <t>Temporal Scope</t>
  </si>
  <si>
    <t>Period</t>
  </si>
  <si>
    <t>[e.g. Second Temple Era, Modern Physics]</t>
  </si>
  <si>
    <t>Start</t>
  </si>
  <si>
    <t>End</t>
  </si>
  <si>
    <t>Q3: WHAT IS IT CLAIMING? (Assertion)</t>
  </si>
  <si>
    <t>Claim Classification</t>
  </si>
  <si>
    <t>Certainty Type</t>
  </si>
  <si>
    <t>Mathematical Form</t>
  </si>
  <si>
    <t>Equation (LaTeX)</t>
  </si>
  <si>
    <t>Units</t>
  </si>
  <si>
    <t>Dimensionality</t>
  </si>
  <si>
    <t>Symmetry Claimed</t>
  </si>
  <si>
    <t>Conservation Claimed</t>
  </si>
  <si>
    <t>Theophysics-Specific</t>
  </si>
  <si>
    <t>Master Equation Link</t>
  </si>
  <si>
    <t>χ Variable</t>
  </si>
  <si>
    <t>Symmetry Pair</t>
  </si>
  <si>
    <t>Ten Laws Mapping</t>
  </si>
  <si>
    <t>[e.g. 1, 5, 8]</t>
  </si>
  <si>
    <t>Q4: WHAT SUPPORTS IT? (Evidence)</t>
  </si>
  <si>
    <t>Evidence Classification</t>
  </si>
  <si>
    <t>empirical | experimental | observational | mathematical | logical | scriptural | historical | inferential</t>
  </si>
  <si>
    <t>Sources</t>
  </si>
  <si>
    <t>[comma-separated source list]</t>
  </si>
  <si>
    <t>Replication Status</t>
  </si>
  <si>
    <t>Independent Lines</t>
  </si>
  <si>
    <t>3 independent &gt; 1 strong</t>
  </si>
  <si>
    <t>Evidence Types Present</t>
  </si>
  <si>
    <t>Mathematical</t>
  </si>
  <si>
    <t>Scriptural</t>
  </si>
  <si>
    <t>Historical</t>
  </si>
  <si>
    <t>Empirical</t>
  </si>
  <si>
    <t>Philosophical</t>
  </si>
  <si>
    <t>Computational</t>
  </si>
  <si>
    <t>Experimental Data</t>
  </si>
  <si>
    <t>Dataset</t>
  </si>
  <si>
    <t>[e.g. PEAR-LAB, GCP]</t>
  </si>
  <si>
    <t>n Trials</t>
  </si>
  <si>
    <t>Sigma (σ)</t>
  </si>
  <si>
    <t>p-value</t>
  </si>
  <si>
    <t>Mathematical Proof</t>
  </si>
  <si>
    <t>Method</t>
  </si>
  <si>
    <t>Completeness</t>
  </si>
  <si>
    <t>Verified By</t>
  </si>
  <si>
    <t>Computational Tests</t>
  </si>
  <si>
    <t>Scripts</t>
  </si>
  <si>
    <t>[e.g. scripts/simulation_entropy.py]</t>
  </si>
  <si>
    <t>Datasets</t>
  </si>
  <si>
    <t>[e.g. datasets/gr_data.csv]</t>
  </si>
  <si>
    <t>Results</t>
  </si>
  <si>
    <t>[e.g. Mass matrix rank 8/10, drift &lt; 1e-6]</t>
  </si>
  <si>
    <t>Platform</t>
  </si>
  <si>
    <t>[e.g. JAX/Colab, Wolfram, Python]</t>
  </si>
  <si>
    <t>Theophysics Correlations</t>
  </si>
  <si>
    <t>Experiment</t>
  </si>
  <si>
    <t>Trials/Replicas</t>
  </si>
  <si>
    <t>Sigma</t>
  </si>
  <si>
    <t>Relevant?</t>
  </si>
  <si>
    <t>PEAR_LAB</t>
  </si>
  <si>
    <t>GCP</t>
  </si>
  <si>
    <t>PROP_COSMOS</t>
  </si>
  <si>
    <t>Q5: WHAT DOES IT DEPEND ON? (Dependency)</t>
  </si>
  <si>
    <t>Depends On</t>
  </si>
  <si>
    <t>[comma-separated IDs or titles]</t>
  </si>
  <si>
    <t>Axiom Dependencies</t>
  </si>
  <si>
    <t>[e.g. A1.1, A2.3]</t>
  </si>
  <si>
    <t>Law Dependencies</t>
  </si>
  <si>
    <t>Definition Dependencies</t>
  </si>
  <si>
    <t>[e.g. Entropy_Definition, Coherence_Definition]</t>
  </si>
  <si>
    <t>Assumptions</t>
  </si>
  <si>
    <t>[unstated but required]</t>
  </si>
  <si>
    <t>Boundary Conditions</t>
  </si>
  <si>
    <t>[e.g. BC1, BC4, BC7]</t>
  </si>
  <si>
    <t>Derivation Chain</t>
  </si>
  <si>
    <t>Derived From</t>
  </si>
  <si>
    <t>[e.g. AX_001_EXISTENCE, LAW_01_GRACE]</t>
  </si>
  <si>
    <t>Leads To</t>
  </si>
  <si>
    <t>[e.g. ME_CHI_PRIMARY]</t>
  </si>
  <si>
    <t>Physics Requirements</t>
  </si>
  <si>
    <t>Classical Mechanics</t>
  </si>
  <si>
    <t>Quantum Mechanics</t>
  </si>
  <si>
    <t>General Relativity</t>
  </si>
  <si>
    <t>Thermodynamics</t>
  </si>
  <si>
    <t>Consciousness Axiom</t>
  </si>
  <si>
    <t>Framework Position</t>
  </si>
  <si>
    <t>Ontological Question</t>
  </si>
  <si>
    <t>[Which Q in the chain]</t>
  </si>
  <si>
    <t>Preceding Survivors</t>
  </si>
  <si>
    <t>[What must survive before this]</t>
  </si>
  <si>
    <t>Master Equation Required?</t>
  </si>
  <si>
    <t>LLC Required?</t>
  </si>
  <si>
    <t>χ Nonzero Required?</t>
  </si>
  <si>
    <t>Q6: WHAT DOES IT AFFECT OR FORCE? (Consequence)</t>
  </si>
  <si>
    <t>Downstream Effects</t>
  </si>
  <si>
    <t>Enables</t>
  </si>
  <si>
    <t>[what this makes possible]</t>
  </si>
  <si>
    <t>Implies</t>
  </si>
  <si>
    <t>[what logically follows]</t>
  </si>
  <si>
    <t>Predicts</t>
  </si>
  <si>
    <t>[what will be observed]</t>
  </si>
  <si>
    <t>Related Questions</t>
  </si>
  <si>
    <t>[Q-level questions linked]</t>
  </si>
  <si>
    <t>Related Papers</t>
  </si>
  <si>
    <t>[e.g. P01, P06]</t>
  </si>
  <si>
    <t>Graph Edges Out</t>
  </si>
  <si>
    <t>[outgoing graph connections]</t>
  </si>
  <si>
    <t>Testable Predictions</t>
  </si>
  <si>
    <t>Prediction</t>
  </si>
  <si>
    <t>Test Method</t>
  </si>
  <si>
    <t>Expected Result</t>
  </si>
  <si>
    <t>Theophysics Consequences</t>
  </si>
  <si>
    <t>Forces in Framework</t>
  </si>
  <si>
    <t>[what else is forced true]</t>
  </si>
  <si>
    <t>Coherence Implications</t>
  </si>
  <si>
    <t>Entropy Implications</t>
  </si>
  <si>
    <t>Grace Implications</t>
  </si>
  <si>
    <t>Consciousness Implications</t>
  </si>
  <si>
    <t>Moral Implications</t>
  </si>
  <si>
    <t>Chain Forcing</t>
  </si>
  <si>
    <t>Forces Next Question</t>
  </si>
  <si>
    <t>Forces Next Axiom</t>
  </si>
  <si>
    <t>Forces Next Paper</t>
  </si>
  <si>
    <t>Q7: WHAT WOULD KILL IT? (Falsification)</t>
  </si>
  <si>
    <t>Falsification Conditions</t>
  </si>
  <si>
    <t>[list conditions that would destroy this]</t>
  </si>
  <si>
    <t>Collapse If False</t>
  </si>
  <si>
    <t>[what else falls]</t>
  </si>
  <si>
    <t>Collapse Severity</t>
  </si>
  <si>
    <t>Kill Conditions</t>
  </si>
  <si>
    <t>Experimental Kills</t>
  </si>
  <si>
    <t>Result That Kills</t>
  </si>
  <si>
    <t>Current Status</t>
  </si>
  <si>
    <t>Mathematical / Theoretical Kills</t>
  </si>
  <si>
    <t>Condition / If True</t>
  </si>
  <si>
    <t>What Dies / Would Invalidate</t>
  </si>
  <si>
    <t>Master Equation Kill</t>
  </si>
  <si>
    <t>If Variable X Is</t>
  </si>
  <si>
    <t>Then</t>
  </si>
  <si>
    <t>Cascade Failure</t>
  </si>
  <si>
    <t>Everything that falls if this falls:</t>
  </si>
  <si>
    <t>[comma-separated cascade list]</t>
  </si>
  <si>
    <t>Debate Tracking</t>
  </si>
  <si>
    <t>Contested By</t>
  </si>
  <si>
    <t>[who/what contests this]</t>
  </si>
  <si>
    <t>Defense Notes</t>
  </si>
  <si>
    <t>[how the contest was answered]</t>
  </si>
  <si>
    <t>Resolution</t>
  </si>
  <si>
    <t>Change Log</t>
  </si>
  <si>
    <t>Change</t>
  </si>
  <si>
    <t>Schema Version</t>
  </si>
  <si>
    <t>7Q Universal Classifier v2.0</t>
  </si>
  <si>
    <t>Enhanced</t>
  </si>
  <si>
    <t>Authors</t>
  </si>
  <si>
    <t>David Lowe + Opus · POF 2828</t>
  </si>
  <si>
    <t>Flow</t>
  </si>
  <si>
    <t>identity → location → assertion → evidence → dependency → consequence → death condition</t>
  </si>
  <si>
    <t>7Q REVERSE — PROVE</t>
  </si>
  <si>
    <t>Start with destruction. Let the thesis emerge from what's left standing.</t>
  </si>
  <si>
    <t>STEP 1 (Q7→): WHAT WOULD KILL IT? — DESTROY</t>
  </si>
  <si>
    <t>"Here is everything that could destroy this. Watch."</t>
  </si>
  <si>
    <t>Death Conditions Tested</t>
  </si>
  <si>
    <t>Death Type</t>
  </si>
  <si>
    <t>Test Description</t>
  </si>
  <si>
    <t>Result</t>
  </si>
  <si>
    <t>Self-Refutation</t>
  </si>
  <si>
    <t>Infinite Regress</t>
  </si>
  <si>
    <t>Empirical Contradiction</t>
  </si>
  <si>
    <t>Logical Incoherence</t>
  </si>
  <si>
    <t>Unsupported</t>
  </si>
  <si>
    <t>Exhaustive Branch Analysis</t>
  </si>
  <si>
    <t>Branch</t>
  </si>
  <si>
    <t>Kill Method</t>
  </si>
  <si>
    <t>Falsification Summary</t>
  </si>
  <si>
    <t>Total Branches Tested</t>
  </si>
  <si>
    <t>Branches Killed</t>
  </si>
  <si>
    <t>Branches Surviving</t>
  </si>
  <si>
    <t>STEP 2 (Q6→): WHAT DOES THE SURVIVOR FORCE? — FORCE</t>
  </si>
  <si>
    <t>"If this survives, these things must be true. Are they?"</t>
  </si>
  <si>
    <t>Forced Consequences</t>
  </si>
  <si>
    <t>Consequence</t>
  </si>
  <si>
    <t>Verified?</t>
  </si>
  <si>
    <t>Necessary Implications</t>
  </si>
  <si>
    <t>[what logically follows with no escape]</t>
  </si>
  <si>
    <t>Predictions Generated</t>
  </si>
  <si>
    <t>[testable downstream predictions]</t>
  </si>
  <si>
    <t>Downstream Objects Required</t>
  </si>
  <si>
    <t>[things that must exist if this is true]</t>
  </si>
  <si>
    <t>Cannot Avoid</t>
  </si>
  <si>
    <t>[inescapable outcomes]</t>
  </si>
  <si>
    <t>STEP 3 (Q5→): WHAT DOES IT DEPEND ON? — GROUND</t>
  </si>
  <si>
    <t>"These are the load-bearing walls. Test them."</t>
  </si>
  <si>
    <t>Required Foundations</t>
  </si>
  <si>
    <t>[by axiom ID]</t>
  </si>
  <si>
    <t>[by law number]</t>
  </si>
  <si>
    <t>Assumptions Exposed</t>
  </si>
  <si>
    <t>[every hidden assumption, named]</t>
  </si>
  <si>
    <t>[BCs required]</t>
  </si>
  <si>
    <t>Weakest Dependency</t>
  </si>
  <si>
    <t>[the one most likely to fail]</t>
  </si>
  <si>
    <t>STEP 4 (Q4→): WHAT SUPPORTS IT? — SUPPORT</t>
  </si>
  <si>
    <t>"You already know it survived destruction. Here is why it survived."</t>
  </si>
  <si>
    <t>Evidence Presented</t>
  </si>
  <si>
    <t>Tier</t>
  </si>
  <si>
    <t>Evidence Summary</t>
  </si>
  <si>
    <t>Strongest Evidence</t>
  </si>
  <si>
    <t>[single most compelling line]</t>
  </si>
  <si>
    <t>STEP 5 (Q3→): WHAT IS IT CLAIMING? — STATE</t>
  </si>
  <si>
    <t>"This is not a hypothesis. This is what's left."</t>
  </si>
  <si>
    <t>The Conclusion</t>
  </si>
  <si>
    <t>Claim Statement</t>
  </si>
  <si>
    <t>[the conclusion that survived]</t>
  </si>
  <si>
    <t>STEP 6 (Q2→): WHAT DOMAIN IS IT IN? — GENERALIZE</t>
  </si>
  <si>
    <t>"This isn't local. It survives across domains."</t>
  </si>
  <si>
    <t>Domain Validation</t>
  </si>
  <si>
    <t>Primary Domain</t>
  </si>
  <si>
    <t>Additional Domains</t>
  </si>
  <si>
    <t>[comma-separated domains where it also holds]</t>
  </si>
  <si>
    <t>Scale Range</t>
  </si>
  <si>
    <t>[e.g. quantum → cosmological]</t>
  </si>
  <si>
    <t>Cross-Domain Validation</t>
  </si>
  <si>
    <t>How It Holds</t>
  </si>
  <si>
    <t>Validated?</t>
  </si>
  <si>
    <t>STEP 7 (Q1→): WHAT IS IT? — NAME</t>
  </si>
  <si>
    <t>"Now you know what it is. Because you watched everything else fail."</t>
  </si>
  <si>
    <t>Identity Earned</t>
  </si>
  <si>
    <t>[earned through survival]</t>
  </si>
  <si>
    <t>Final Classification</t>
  </si>
  <si>
    <t>Canonical Statement</t>
  </si>
  <si>
    <t>[the thing that couldn't be killed is the thing that's true]</t>
  </si>
  <si>
    <t>WHY THIS IS DIFFERENT</t>
  </si>
  <si>
    <t>Traditional Scientific Method</t>
  </si>
  <si>
    <t>7Q Reverse (New Method)</t>
  </si>
  <si>
    <t>Starting point</t>
  </si>
  <si>
    <t>Start with hypothesis</t>
  </si>
  <si>
    <t>Start with destruction</t>
  </si>
  <si>
    <t>Try to confirm</t>
  </si>
  <si>
    <t>Try to kill</t>
  </si>
  <si>
    <t>Evidence role</t>
  </si>
  <si>
    <t>Evidence leads</t>
  </si>
  <si>
    <t>Evidence confirms</t>
  </si>
  <si>
    <t>Identity assumed first</t>
  </si>
  <si>
    <t>Identity earned last</t>
  </si>
  <si>
    <t>Testing</t>
  </si>
  <si>
    <t>Survives one test</t>
  </si>
  <si>
    <t>Survives exhaustive elimination</t>
  </si>
  <si>
    <t>Validation</t>
  </si>
  <si>
    <t>Replication validates</t>
  </si>
  <si>
    <t>Survival validates</t>
  </si>
  <si>
    <t>Conclusion</t>
  </si>
  <si>
    <t>Conclusion at end</t>
  </si>
  <si>
    <t>Conclusion is what's left standing</t>
  </si>
  <si>
    <t>THE CORE PRINCIPLE</t>
  </si>
  <si>
    <t>Seven questions forward: classify anything.</t>
  </si>
  <si>
    <t>Seven questions reversed: prove anything.</t>
  </si>
  <si>
    <t>Same engine. Two directions. Nothing escapes.</t>
  </si>
  <si>
    <t>Template</t>
  </si>
  <si>
    <t>7Q Reverse — Prove v2.0</t>
  </si>
  <si>
    <t>Direction</t>
  </si>
  <si>
    <t>REVERSE: death → consequence → dependency → evidence → assertion → location → identity</t>
  </si>
  <si>
    <t>Complement</t>
  </si>
  <si>
    <t>7Q_CLASSIFIER (Forward — Classify)</t>
  </si>
  <si>
    <t>David Lowe + Opus · POF 2828 · Theophysics</t>
  </si>
  <si>
    <t>FIELD_ID</t>
  </si>
  <si>
    <t>TYPE</t>
  </si>
  <si>
    <t>LAYER</t>
  </si>
  <si>
    <t>DEPENDS_ON</t>
  </si>
  <si>
    <t>EXPORT_RULE</t>
  </si>
  <si>
    <t>_HEADER</t>
  </si>
  <si>
    <t>section</t>
  </si>
  <si>
    <t>PRESENT</t>
  </si>
  <si>
    <t>—</t>
  </si>
  <si>
    <t>skip</t>
  </si>
  <si>
    <t>S1_HEADER</t>
  </si>
  <si>
    <t>## heading</t>
  </si>
  <si>
    <t>S1_PROMPT</t>
  </si>
  <si>
    <t>static</t>
  </si>
  <si>
    <t>&gt; blockquote</t>
  </si>
  <si>
    <t>S1.SELF_REF</t>
  </si>
  <si>
    <t>select+text</t>
  </si>
  <si>
    <t>SCHEMA</t>
  </si>
  <si>
    <t>yaml + body</t>
  </si>
  <si>
    <t>S1.INF_REG</t>
  </si>
  <si>
    <t>S1.EMP_CON</t>
  </si>
  <si>
    <t>S1.LOG_INC</t>
  </si>
  <si>
    <t>S1.UNSUP</t>
  </si>
  <si>
    <t>S1.BR1</t>
  </si>
  <si>
    <t>text+select</t>
  </si>
  <si>
    <t>S1.BR2</t>
  </si>
  <si>
    <t>S1.TOTAL_BR</t>
  </si>
  <si>
    <t>number</t>
  </si>
  <si>
    <t>LOGIC</t>
  </si>
  <si>
    <t>S1.BR1-5</t>
  </si>
  <si>
    <t>yaml (computed)</t>
  </si>
  <si>
    <t>S1.KILLED</t>
  </si>
  <si>
    <t>computed</t>
  </si>
  <si>
    <t>S1.BR*.status</t>
  </si>
  <si>
    <t>S1.SURVIVING</t>
  </si>
  <si>
    <t>S2_HEADER</t>
  </si>
  <si>
    <t>S1 complete</t>
  </si>
  <si>
    <t>S2_PROMPT</t>
  </si>
  <si>
    <t>S2.CON1</t>
  </si>
  <si>
    <t>S1.*</t>
  </si>
  <si>
    <t>S2.CON2</t>
  </si>
  <si>
    <t>S2.NECESS</t>
  </si>
  <si>
    <t>free_text</t>
  </si>
  <si>
    <t>body</t>
  </si>
  <si>
    <t>S2.PREDICT</t>
  </si>
  <si>
    <t>S2.DOWNSTRM</t>
  </si>
  <si>
    <t>S2.CANT_AVOID</t>
  </si>
  <si>
    <t>S3_HEADER</t>
  </si>
  <si>
    <t>S2 complete</t>
  </si>
  <si>
    <t>S3.AXIOM_DEP</t>
  </si>
  <si>
    <t>yaml</t>
  </si>
  <si>
    <t>S3.LAW_DEP</t>
  </si>
  <si>
    <t>S3.ASSUMPT</t>
  </si>
  <si>
    <t>S3.WEAKEST</t>
  </si>
  <si>
    <t>S3.AXIOM+LAW</t>
  </si>
  <si>
    <t>yaml (critical)</t>
  </si>
  <si>
    <t>S4_HEADER</t>
  </si>
  <si>
    <t>S3 complete</t>
  </si>
  <si>
    <t>S4.EV1</t>
  </si>
  <si>
    <t>text+2sel</t>
  </si>
  <si>
    <t>S4.REPL_STAT</t>
  </si>
  <si>
    <t>select</t>
  </si>
  <si>
    <t>S4.EV*</t>
  </si>
  <si>
    <t>S4.STRONGEST</t>
  </si>
  <si>
    <t>S5_HEADER</t>
  </si>
  <si>
    <t>S4 complete</t>
  </si>
  <si>
    <t>S5.CLAIM</t>
  </si>
  <si>
    <t>S1-S4 all</t>
  </si>
  <si>
    <t>S5.TYPE</t>
  </si>
  <si>
    <t>S5.PRECISION</t>
  </si>
  <si>
    <t>S5.CERTAINTY</t>
  </si>
  <si>
    <t>S5.SCOPE</t>
  </si>
  <si>
    <t>S6_HEADER</t>
  </si>
  <si>
    <t>S5 complete</t>
  </si>
  <si>
    <t>S6.PRI_DOM</t>
  </si>
  <si>
    <t>S6.ISO_STAT</t>
  </si>
  <si>
    <t>S6.CROSS_*</t>
  </si>
  <si>
    <t>S7_HEADER</t>
  </si>
  <si>
    <t>S6 complete</t>
  </si>
  <si>
    <t>S7.ID</t>
  </si>
  <si>
    <t>S1-S6 all</t>
  </si>
  <si>
    <t>S7.TITLE</t>
  </si>
  <si>
    <t>S7.FINAL_CLS</t>
  </si>
  <si>
    <t>S7.CANONICAL</t>
  </si>
  <si>
    <t>COMPARE</t>
  </si>
  <si>
    <t>table (optional)</t>
  </si>
  <si>
    <t>AUDIT</t>
  </si>
  <si>
    <t>footer</t>
  </si>
  <si>
    <t>THE LOWE FACTS FORMAT</t>
  </si>
  <si>
    <t>Transparent Academic Papers Through Explicit Axioms</t>
  </si>
  <si>
    <t>The method does not guarantee truth. It guarantees transparency.</t>
  </si>
  <si>
    <t>FACTS SUMMARY</t>
  </si>
  <si>
    <t>Letter</t>
  </si>
  <si>
    <t>Phase</t>
  </si>
  <si>
    <t>Purpose</t>
  </si>
  <si>
    <t>F</t>
  </si>
  <si>
    <t>FIND — State the anomaly</t>
  </si>
  <si>
    <t>What demands explanation?</t>
  </si>
  <si>
    <t>A</t>
  </si>
  <si>
    <t>ADMIT — Disclose bias</t>
  </si>
  <si>
    <t>Who is asking and why?</t>
  </si>
  <si>
    <t>C</t>
  </si>
  <si>
    <t>CLAIM — Make thesis explicit</t>
  </si>
  <si>
    <t>What exactly is being asserted?</t>
  </si>
  <si>
    <t>T</t>
  </si>
  <si>
    <t>TEST — Show your work</t>
  </si>
  <si>
    <t>How can this be checked?</t>
  </si>
  <si>
    <t>S</t>
  </si>
  <si>
    <t>SNAP — Provide kill conditions</t>
  </si>
  <si>
    <t>How can this be destroyed?</t>
  </si>
  <si>
    <t>CORE INNOVATION</t>
  </si>
  <si>
    <t>Forces Biaxiosum (explicit axiom declaration) rather than claimed objectivity with hidden assumptions.</t>
  </si>
  <si>
    <t>Position</t>
  </si>
  <si>
    <t>[e.g., 3 of 7]</t>
  </si>
  <si>
    <t>This is the bedrock assumption. If this is false, the entire paper fails.</t>
  </si>
  <si>
    <t>Who is asking? What are their priors? Full worldview disclosure.</t>
  </si>
  <si>
    <t>Author Posture (Biaxiosum Declaration)</t>
  </si>
  <si>
    <t>Declaration</t>
  </si>
  <si>
    <t>What is being asserted? What would follow if true/false?</t>
  </si>
  <si>
    <t>[The claim. No hedging.]</t>
  </si>
  <si>
    <t>Show your work. Method is public. Data is accessible.</t>
  </si>
  <si>
    <t>Tools Used</t>
  </si>
  <si>
    <t>How to destroy the argument. Explicit falsification criteria.</t>
  </si>
  <si>
    <t>Explicit Invitation</t>
  </si>
  <si>
    <t>If you can satisfy any kill condition, this paper is falsified. I will publicly acknowledge the refutation.</t>
  </si>
  <si>
    <t>§XI  REPLICATION</t>
  </si>
  <si>
    <t>How to Repeat This</t>
  </si>
  <si>
    <t>[Step-by-step replication instructions]</t>
  </si>
  <si>
    <t>The Lowe Battery</t>
  </si>
  <si>
    <t>Test</t>
  </si>
  <si>
    <t>Pass Condition</t>
  </si>
  <si>
    <t>LCT</t>
  </si>
  <si>
    <t>Does the domain show coherence decay over time?</t>
  </si>
  <si>
    <t>LFT</t>
  </si>
  <si>
    <t>LMT</t>
  </si>
  <si>
    <t>§XII  REFERENCES + APPENDICES</t>
  </si>
  <si>
    <t>Primary Sources</t>
  </si>
  <si>
    <t>Appendix A</t>
  </si>
  <si>
    <t>Appendix B</t>
  </si>
  <si>
    <t>Lowe FACTS Format v1.0</t>
  </si>
  <si>
    <t>[auto from metadata]</t>
  </si>
  <si>
    <t>Axiom Hash</t>
  </si>
  <si>
    <t>[SHA-256 of §0]</t>
  </si>
  <si>
    <t>Kill Conditions Met</t>
  </si>
  <si>
    <t>AXIOM DIAGRAM TEMPLATES — 10 Canonical Shapes</t>
  </si>
  <si>
    <t>Each shape corresponds to a content type in the Canonical Tag Taxonomy.</t>
  </si>
  <si>
    <t>These templates can be used to auto-generate proof diagrams from axiom data.</t>
  </si>
  <si>
    <t>MASTER REFERENCE TABLE</t>
  </si>
  <si>
    <t>Shape</t>
  </si>
  <si>
    <t>Tag</t>
  </si>
  <si>
    <t>Callout</t>
  </si>
  <si>
    <t>Key Question</t>
  </si>
  <si>
    <t>Axiom (A)</t>
  </si>
  <si>
    <t>[!axiom]-</t>
  </si>
  <si>
    <t>Can this be defeated? What does it open?</t>
  </si>
  <si>
    <t>Definition (D)</t>
  </si>
  <si>
    <t>What does this mean and where does it go?</t>
  </si>
  <si>
    <t>Equation (E)</t>
  </si>
  <si>
    <t>[!equation]-</t>
  </si>
  <si>
    <t>What does each symbol represent?</t>
  </si>
  <si>
    <t>Proposition (P)</t>
  </si>
  <si>
    <t>[!hypothesis]-</t>
  </si>
  <si>
    <t>How does this follow? What does it license?</t>
  </si>
  <si>
    <t>Theorem (T)</t>
  </si>
  <si>
    <t>hypothesis+verified</t>
  </si>
  <si>
    <t>How is this proven? What does the proof open?</t>
  </si>
  <si>
    <t>Corollary (C)</t>
  </si>
  <si>
    <t>hypothesis+dependency</t>
  </si>
  <si>
    <t>What does this add beyond its parent?</t>
  </si>
  <si>
    <t>Boundary Condition (BC)</t>
  </si>
  <si>
    <t>falsification</t>
  </si>
  <si>
    <t>[!falsification]-</t>
  </si>
  <si>
    <t>What satisfies this? What fails it?</t>
  </si>
  <si>
    <t>Law Note (LN)</t>
  </si>
  <si>
    <t>isomorphism</t>
  </si>
  <si>
    <t>[!isomorphism]-</t>
  </si>
  <si>
    <t>Where does established science say this?</t>
  </si>
  <si>
    <t>Protocol (PROT)</t>
  </si>
  <si>
    <t>prediction</t>
  </si>
  <si>
    <t>[!prediction]-</t>
  </si>
  <si>
    <t>What would actually break this?</t>
  </si>
  <si>
    <t>Evidence (EV)</t>
  </si>
  <si>
    <t>[!evidence]-</t>
  </si>
  <si>
    <t>How strong is the support, honestly?</t>
  </si>
  <si>
    <t>SHAPE 1 — AXIOM (A)</t>
  </si>
  <si>
    <t>Claim under pressure — what attacks it, what it withstands, what it opens.</t>
  </si>
  <si>
    <t>Structure</t>
  </si>
  <si>
    <t>UPSTREAM → CLAIM → ATTACKS → HOLDS → ENABLES</t>
  </si>
  <si>
    <t>Upstream Dependency</t>
  </si>
  <si>
    <t>[None for primitives, or parent axiom]</t>
  </si>
  <si>
    <t>Attack Vector 1</t>
  </si>
  <si>
    <t>[Steelmanned objection]</t>
  </si>
  <si>
    <t>Attack Vector 2</t>
  </si>
  <si>
    <t>Attack Vector 3</t>
  </si>
  <si>
    <t>Self-Refutation Trap</t>
  </si>
  <si>
    <t>[Does denying this axiom require using it?]</t>
  </si>
  <si>
    <t>Holds Because</t>
  </si>
  <si>
    <t>Enables 1</t>
  </si>
  <si>
    <t>Enables 2</t>
  </si>
  <si>
    <t>Enables 3</t>
  </si>
  <si>
    <t>SHAPE 2 — DEFINITION (D)</t>
  </si>
  <si>
    <t>Term at center, components radiating, downstream uses anchoring.</t>
  </si>
  <si>
    <t>PARENT → TERM → COMPONENTS → USED_IN</t>
  </si>
  <si>
    <t>Parent Concept</t>
  </si>
  <si>
    <t>Term</t>
  </si>
  <si>
    <t>Component 1</t>
  </si>
  <si>
    <t>Component 2</t>
  </si>
  <si>
    <t>Component 3</t>
  </si>
  <si>
    <t>Used In 1</t>
  </si>
  <si>
    <t>Used In 2</t>
  </si>
  <si>
    <t>SHAPE 3 — EQUATION (E)</t>
  </si>
  <si>
    <t>Each variable gets its own node — domain, meaning, physical analogue.</t>
  </si>
  <si>
    <t>EQUATION → VARIABLES (each with domain) → MEANING → ENABLES</t>
  </si>
  <si>
    <t>Equation</t>
  </si>
  <si>
    <t>Variable</t>
  </si>
  <si>
    <t>Meaning</t>
  </si>
  <si>
    <t>Physical Analogue</t>
  </si>
  <si>
    <t>SHAPE 4 — PROPOSITION (P)</t>
  </si>
  <si>
    <t>Inference path — what it follows from, what license it grants.</t>
  </si>
  <si>
    <t>FROM_AXIOMS → INFERENCE_STEP → PROPOSITION → GRANTS</t>
  </si>
  <si>
    <t>From Axiom 1</t>
  </si>
  <si>
    <t>From Axiom 2</t>
  </si>
  <si>
    <t>Inference Step</t>
  </si>
  <si>
    <t>[How do these axioms combine?]</t>
  </si>
  <si>
    <t>Proposition</t>
  </si>
  <si>
    <t>Grants / Licenses</t>
  </si>
  <si>
    <t>[What can you now do or claim?]</t>
  </si>
  <si>
    <t>SHAPE 5 — THEOREM (T)</t>
  </si>
  <si>
    <t>Premises stack into conclusion, conclusion fans into corollaries.</t>
  </si>
  <si>
    <t>PREMISES → PROOF_STEP → THEOREM → COROLLARIES + IMPLICATIONS</t>
  </si>
  <si>
    <t>Premise 1</t>
  </si>
  <si>
    <t>Premise 2</t>
  </si>
  <si>
    <t>Proof Step</t>
  </si>
  <si>
    <t>Theorem Statement</t>
  </si>
  <si>
    <t>Corollary 1</t>
  </si>
  <si>
    <t>Corollary 2</t>
  </si>
  <si>
    <t>Implication</t>
  </si>
  <si>
    <t>SHAPE 6 — COROLLARY (C)</t>
  </si>
  <si>
    <t>Parent → logical step → consequence → what it opens.</t>
  </si>
  <si>
    <t>PARENT_THEOREM → STEP → COROLLARY → NEXT + OBJECTION</t>
  </si>
  <si>
    <t>Parent Theorem</t>
  </si>
  <si>
    <t>Logical Step</t>
  </si>
  <si>
    <t>Corollary Statement</t>
  </si>
  <si>
    <t>Opens / Next</t>
  </si>
  <si>
    <t>Objection</t>
  </si>
  <si>
    <t>[What could challenge this corollary specifically?]</t>
  </si>
  <si>
    <t>SHAPE 7 — BOUNDARY CONDITION (BC)</t>
  </si>
  <si>
    <t>What's constrained → requirement → what passes → what fails.</t>
  </si>
  <si>
    <t>SYSTEM → BC → WHY + PASS + FAIL → NEXT</t>
  </si>
  <si>
    <t>System / Context</t>
  </si>
  <si>
    <t>Boundary Condition</t>
  </si>
  <si>
    <t>Why This Boundary</t>
  </si>
  <si>
    <t>Fail Condition</t>
  </si>
  <si>
    <t>Next</t>
  </si>
  <si>
    <t>SHAPE 8 — LAW NOTE (LN)</t>
  </si>
  <si>
    <t>Known physics on one side, χ-framework on the other, mapping in middle.</t>
  </si>
  <si>
    <t>KNOWN_PHYSICS → MAPPING_BRIDGE → CHI_FRAMEWORK → WEIGHT</t>
  </si>
  <si>
    <t>Known Physics</t>
  </si>
  <si>
    <t>[Established law or principle]</t>
  </si>
  <si>
    <t>Mapping Bridge</t>
  </si>
  <si>
    <t>[How does the known physics map to the χ framework?]</t>
  </si>
  <si>
    <t>χ Framework Equivalent</t>
  </si>
  <si>
    <t>Isomorphism Weight</t>
  </si>
  <si>
    <t>SHAPE 9 — PROTOCOL (PROT)</t>
  </si>
  <si>
    <t>Theoretical claim → experiment → expected result → kill condition.</t>
  </si>
  <si>
    <t>CLAIM → EXPERIMENT → PREDICTED + KILL_CONDITION → HONEST_ASSESSMENT</t>
  </si>
  <si>
    <t>Claim Being Tested</t>
  </si>
  <si>
    <t>Experiment / Test</t>
  </si>
  <si>
    <t>Predicted Result</t>
  </si>
  <si>
    <t>Honest Assessment</t>
  </si>
  <si>
    <t>SHAPE 10 — EVIDENCE (EV)</t>
  </si>
  <si>
    <t>Claim → data → methodology → what it proves and what it doesn't.</t>
  </si>
  <si>
    <t>CLAIM → EVIDENCE → DATA + STRONG + WEAK → NET_WEIGHT</t>
  </si>
  <si>
    <t>Claim Supported</t>
  </si>
  <si>
    <t>Evidence / Data</t>
  </si>
  <si>
    <t>Methodology</t>
  </si>
  <si>
    <t>What It Proves (Strong)</t>
  </si>
  <si>
    <t>What It Doesn't (Weak)</t>
  </si>
  <si>
    <t>Net Weight</t>
  </si>
  <si>
    <t>INTEGRATION WITH PIPELINE</t>
  </si>
  <si>
    <t>These templates connect to three systems:</t>
  </si>
  <si>
    <t>System</t>
  </si>
  <si>
    <t>Function</t>
  </si>
  <si>
    <t>Output</t>
  </si>
  <si>
    <t>Semantic AI Plugin</t>
  </si>
  <si>
    <t>Classifies content into 10 types</t>
  </si>
  <si>
    <t>YAML tag from taxonomy</t>
  </si>
  <si>
    <t>CSS Callouts</t>
  </si>
  <si>
    <t>Renders inline collapsed versions</t>
  </si>
  <si>
    <t>&gt; [!type]- [ID] — [TITLE]</t>
  </si>
  <si>
    <t>Knowledge Graph</t>
  </si>
  <si>
    <t>Stores as typed nodes with edges</t>
  </si>
  <si>
    <t>Node of type [Shape] + edges</t>
  </si>
  <si>
    <t>Mermaid Diagrams</t>
  </si>
  <si>
    <t>Auto-generates proof diagrams from shape template</t>
  </si>
  <si>
    <t>Diagram from Shape [N] template</t>
  </si>
  <si>
    <t>Same content, four representations. One classification, four outputs.</t>
  </si>
  <si>
    <t>Codex axiom diagram template system</t>
  </si>
  <si>
    <t>Mapped to</t>
  </si>
  <si>
    <t>CANONICAL_TAG_TAXONOMY.md (79 tags)</t>
  </si>
  <si>
    <t>CSS</t>
  </si>
  <si>
    <t>theophysics-content-callouts.css (10 types)</t>
  </si>
  <si>
    <t>Template Version</t>
  </si>
  <si>
    <t>10 Canonical Shapes v1.0</t>
  </si>
  <si>
    <t>The axiom is the atom. Everything else is subatomic. Axioms flow left→right. Internal types stack vertically. Gaps are the signal.</t>
  </si>
  <si>
    <t>CANONICAL TYPE</t>
  </si>
  <si>
    <t>▼</t>
  </si>
  <si>
    <t>A3.1 — Order Requirement</t>
  </si>
  <si>
    <t>Depth</t>
  </si>
  <si>
    <t>↔</t>
  </si>
  <si>
    <t>A3.2 — Coherence Measure</t>
  </si>
  <si>
    <t>A4.1 — [Next Axiom]</t>
  </si>
  <si>
    <t>THE SPINE →</t>
  </si>
  <si>
    <t>✅</t>
  </si>
  <si>
    <t>Information must be organized to be meaningful</t>
  </si>
  <si>
    <t>7 sect</t>
  </si>
  <si>
    <t>━━▶</t>
  </si>
  <si>
    <t>The universe tends toward organization</t>
  </si>
  <si>
    <t>5 sect</t>
  </si>
  <si>
    <t>⬜</t>
  </si>
  <si>
    <t>[pending]</t>
  </si>
  <si>
    <t>2. Definition (D)</t>
  </si>
  <si>
    <t>Information, Logos Field, Coherence Functional</t>
  </si>
  <si>
    <t>──</t>
  </si>
  <si>
    <t>Coherence, C-functional, Organization Density</t>
  </si>
  <si>
    <t>3. Equation (E)</t>
  </si>
  <si>
    <t>K(x), I(meaning)=ΔK, Shannon H(X), Φ=IIT</t>
  </si>
  <si>
    <t>C(χ) functional, dS/dt, V(χ) potential</t>
  </si>
  <si>
    <t>4. Proposition (P)</t>
  </si>
  <si>
    <t>Meaning ≠ randomness; compressibility = meaning</t>
  </si>
  <si>
    <t>Universe minimizes complexity; coherence increases</t>
  </si>
  <si>
    <t>5. Theorem (T)</t>
  </si>
  <si>
    <t>T4.1: Laws are low-K descriptions of reality</t>
  </si>
  <si>
    <t>╱</t>
  </si>
  <si>
    <t>Coherence theorem (formalized)</t>
  </si>
  <si>
    <t>6. Corollary (C)</t>
  </si>
  <si>
    <t>If order=meaning, then disorder=meaninglessness</t>
  </si>
  <si>
    <t>If coherence increases, entropy locally decreases</t>
  </si>
  <si>
    <t>7. Boundary Cond (BC)</t>
  </si>
  <si>
    <t>C≥0, K≥0, scope=universal</t>
  </si>
  <si>
    <t>╲</t>
  </si>
  <si>
    <t>⚠️</t>
  </si>
  <si>
    <t>Partial — needs entropy coupling constraint</t>
  </si>
  <si>
    <t>8. Law Note (LN)</t>
  </si>
  <si>
    <t>2nd Law, Shannon, Penrose Weyl, Schrödinger</t>
  </si>
  <si>
    <t>Prigogine, Boltzmann, dissipative structures</t>
  </si>
  <si>
    <t>9. Protocol (PROT)</t>
  </si>
  <si>
    <t>gzip test, IIT Φ measurement, compression ratio</t>
  </si>
  <si>
    <t>Entropy measurement, C-functional tracking</t>
  </si>
  <si>
    <t>10. Evidence (EV)</t>
  </si>
  <si>
    <t>Shannon '48, Kolmogorov '65, Penrose, Tononi, Schrödinger</t>
  </si>
  <si>
    <t>Prigogine, Boltzmann, dissipative obs.</t>
  </si>
  <si>
    <t>SYMMETRY CHECK</t>
  </si>
  <si>
    <t>All types present • Depth: 34 total</t>
  </si>
  <si>
    <t>BC partial (gap) • Depth: 21 total</t>
  </si>
  <si>
    <t>0/10</t>
  </si>
  <si>
    <t>Empty — needs all types</t>
  </si>
  <si>
    <t>CONNECTOR LEGEND</t>
  </si>
  <si>
    <t>──  Straight</t>
  </si>
  <si>
    <t>Perfect mirror. Both axioms have this type at equal or near-equal depth.</t>
  </si>
  <si>
    <t>╱  Up-slope</t>
  </si>
  <si>
    <t>Next axiom ADDS complexity. More depth, more detail, more formalization than predecessor.</t>
  </si>
  <si>
    <t>╲  Down-slope</t>
  </si>
  <si>
    <t>Next axiom DROPS depth. Less evidence, less formalization. Gap signal — needs work or justified absence.</t>
  </si>
  <si>
    <t>✖  Missing</t>
  </si>
  <si>
    <t>Type exists in one axiom but not the other. Hard gap. Either fill it or document why it's absent.</t>
  </si>
  <si>
    <t>STATUS ICONS</t>
  </si>
  <si>
    <t>✅ Present</t>
  </si>
  <si>
    <t>Type fully populated with content</t>
  </si>
  <si>
    <t>⚠️ Partial</t>
  </si>
  <si>
    <t>Type exists but incomplete — needs fortification</t>
  </si>
  <si>
    <t>⬜ Empty</t>
  </si>
  <si>
    <t>Type not yet created for this axiom</t>
  </si>
  <si>
    <t>THE 5 RULES</t>
  </si>
  <si>
    <t>1. Axiom-to-Axiom Only</t>
  </si>
  <si>
    <t>The spine is A→A→A. Internal types never connect across axioms directly.</t>
  </si>
  <si>
    <t>2. Types Are Internal</t>
  </si>
  <si>
    <t>Expand an axiom → see its 10 types. Collapse it → one node on the spine.</t>
  </si>
  <si>
    <t>3. Type-to-Type Symmetry</t>
  </si>
  <si>
    <t>Adjacent axioms' internals should mirror. Where they don't = gap = most valuable signal.</t>
  </si>
  <si>
    <t>4. Mind Map at Axiom Level</t>
  </si>
  <si>
    <t>Click axiom → branches radiate. Missing branches visible. Gap = information.</t>
  </si>
  <si>
    <t>5. Internal Causal Chain</t>
  </si>
  <si>
    <t>D→E→P→T→C within each axiom. Same order as the 10 shapes.</t>
  </si>
  <si>
    <t>PUBLICATION PIPELINE — S01→S15</t>
  </si>
  <si>
    <t>Concept → Writing → Scoring → Adversarial → Integration → TTS → Media → Publish → Distribute</t>
  </si>
  <si>
    <t>PROJECT NAME</t>
  </si>
  <si>
    <t>Current Step</t>
  </si>
  <si>
    <t>TASK</t>
  </si>
  <si>
    <t>STATUS</t>
  </si>
  <si>
    <t>NOTES / DETAIL</t>
  </si>
  <si>
    <t>GATE / SCORE</t>
  </si>
  <si>
    <t>DATE</t>
  </si>
  <si>
    <t>S01 — CONCEPT</t>
  </si>
  <si>
    <t>Paper or idea exists (document created, even rough)</t>
  </si>
  <si>
    <t>Working title assigned</t>
  </si>
  <si>
    <t>Tagged with primary domain</t>
  </si>
  <si>
    <t>Series identified (if applicable)</t>
  </si>
  <si>
    <t>S02 — WRITING</t>
  </si>
  <si>
    <t>Paper drafted — raw thought on the page</t>
  </si>
  <si>
    <t>Core argument articulated (what is the claim?)</t>
  </si>
  <si>
    <t>Court papers written (prosecution/defense structure)</t>
  </si>
  <si>
    <t>Biaxiosum / Page 0 finalized</t>
  </si>
  <si>
    <t>Destruction manual written (what should kill this idea?)</t>
  </si>
  <si>
    <t>Defense record started (how does it survive its own destruction?)</t>
  </si>
  <si>
    <t>S03 — COLLECTION</t>
  </si>
  <si>
    <t>Core supporting papers identified</t>
  </si>
  <si>
    <t>Tangents linked (orbit papers)</t>
  </si>
  <si>
    <t>Landscape map started</t>
  </si>
  <si>
    <t>Related series/projects noted</t>
  </si>
  <si>
    <t>S04 — YAML + AXIOM TRACE</t>
  </si>
  <si>
    <t>YAML frontmatter applied (tags, status, domain, series, date)</t>
  </si>
  <si>
    <t>Claims mapped to classification (AXIOM/LEMMA/HYPOTHESIS/RESULT/CLAIM/CONJECTURE)</t>
  </si>
  <si>
    <t>Proof status explicit for each major claim</t>
  </si>
  <si>
    <t>Evidence trail started</t>
  </si>
  <si>
    <t>Axiom dependencies identified (which of the 189 axioms?)</t>
  </si>
  <si>
    <t>⛔ S05 — SCORING — GATE 1</t>
  </si>
  <si>
    <t>GATE 1</t>
  </si>
  <si>
    <t>BAES evaluation run</t>
  </si>
  <si>
    <t>Score recorded</t>
  </si>
  <si>
    <t>Score meets minimum threshold</t>
  </si>
  <si>
    <t>GATE DECISION</t>
  </si>
  <si>
    <t>PASS → S06  |  FAIL → S02 or KILL  |  BORDERLINE → flag for adversarial</t>
  </si>
  <si>
    <t>⛔ S06 — ADVERSARIAL REVIEW — GATE 2</t>
  </si>
  <si>
    <t>GATE 2</t>
  </si>
  <si>
    <t>Adversarial AI pass completed (dedicated session)</t>
  </si>
  <si>
    <t>Steelman of strongest objections articulated</t>
  </si>
  <si>
    <t>Evidence tiering applied (T1: confirmed / T2: contested / T3: speculative)</t>
  </si>
  <si>
    <t>Inference gaps identified (logic leap vs. derivation)</t>
  </si>
  <si>
    <t>ISO classifications applied (ISO-confirmed / ISO-parallel / ISO-analogy)</t>
  </si>
  <si>
    <t>Adversarial report saved</t>
  </si>
  <si>
    <t>Author response to adversarial findings documented</t>
  </si>
  <si>
    <t>PASS → S07  |  FAIL → S02 or KILL  |  CONDITIONAL → specific repairs</t>
  </si>
  <si>
    <t>S07 — DATA ANALYTICS + STRUCTURAL AUDIT</t>
  </si>
  <si>
    <t>Run unification_audit_extract.py on target scope</t>
  </si>
  <si>
    <t>Metrics: Notes scanned / Semantic tags / Resolved links / Broken links</t>
  </si>
  <si>
    <t>Metrics: Weak claims / Claims fully covered</t>
  </si>
  <si>
    <t>Artifacts verified (index.html, claim_graph.json, collapse/weak JSONs, BRUTAL_REPORT.md)</t>
  </si>
  <si>
    <t>Analytics pipeline + vault health triage + knowledge graph complete</t>
  </si>
  <si>
    <t>Escalation check (weak claims ↑? broken links ↑? collapse shifts?)</t>
  </si>
  <si>
    <t>S08 — FRAMEWORK INTEGRATION</t>
  </si>
  <si>
    <t>Cross-file edits applied (Markdown, Excel, JSON, Google Sheets)</t>
  </si>
  <si>
    <t>New axioms inserted if needed; axiom count updated everywhere</t>
  </si>
  <si>
    <t>Dependency chains updated (depends_on, enables)</t>
  </si>
  <si>
    <t>Master Equation mapping — χ = ∭(G·M·E·S·T·K·R·Q·F·C)</t>
  </si>
  <si>
    <t>Cross-references, pictures/diagrams, glossary check, version control</t>
  </si>
  <si>
    <t>S09 — ARTIFACT HYGIENE</t>
  </si>
  <si>
    <t>Transcription cleanup (mic artifacts, filler, duplicates)</t>
  </si>
  <si>
    <t>Media cleanup (image embeds, local media refs that shouldn't publish)</t>
  </si>
  <si>
    <t>TTS contamination prevention (Structural Index + Media Callouts excluded)</t>
  </si>
  <si>
    <t>Scientific posture (hypothesis present, falsifiability present, publish gate)</t>
  </si>
  <si>
    <t>Tone &amp; identity (name check, address style, rewrites with backup)</t>
  </si>
  <si>
    <t>S10 — TTS PIPELINE</t>
  </si>
  <si>
    <t>tts_pipeline.py + batch_tts.py runs</t>
  </si>
  <si>
    <t>Math translation master loaded (MATH_TRANSLATION_MASTER.xlsx, 469 pairs)</t>
  </si>
  <si>
    <t>Clean MD + TTS TXT + Edge TTS synthesis + source → PROCESSED</t>
  </si>
  <si>
    <t>Audio hygiene (metadata stripped, wikilinks removed, intro prelude added)</t>
  </si>
  <si>
    <t>Artifacts verified (MP3, clean MD, TTS TXT, media vault copy, processed source)</t>
  </si>
  <si>
    <t>S11 — MEDIA GENERATION (NotebookLM)</t>
  </si>
  <si>
    <t>Sources uploaded to NotebookLM</t>
  </si>
  <si>
    <t>Generated: Podcast / Slides / Briefing / Proposal / White Paper / Definitions / Video</t>
  </si>
  <si>
    <t>Downloads verified, organized to O:\00_MEDIA\, symlinks created</t>
  </si>
  <si>
    <t>Definitions extracted, vault entries created, wikilinks added</t>
  </si>
  <si>
    <t>Metadata JSON updated (status, file sizes, durations)</t>
  </si>
  <si>
    <t>S12 — PUBLISH PREP</t>
  </si>
  <si>
    <t>Paths confirmed (source vault, output root, venv python)</t>
  </si>
  <si>
    <t>Pipelines executed (analytics, unification audit, vault health, safe auto-fix)</t>
  </si>
  <si>
    <t>Output bundles + summary MD + copy-ready artifacts exist</t>
  </si>
  <si>
    <t>YAML-only tag compliance (inline hashtags → frontmatter, tokens removed)</t>
  </si>
  <si>
    <t>S13 — QUARTZ DEPLOY</t>
  </si>
  <si>
    <t>Preflight (site folder, quartz.config.ts, middleware)</t>
  </si>
  <si>
    <t>Security (Cloudflare env vars, no hardcoded creds, RSS enabled)</t>
  </si>
  <si>
    <t>Build (npm install, npx quartz build, public/index.xml exists)</t>
  </si>
  <si>
    <t>Verify (features script passes, auth challenge works, RSS responds)</t>
  </si>
  <si>
    <t>Deploy (push v4 branch, Cloudflare Pages build)</t>
  </si>
  <si>
    <t>S14 — PUBLISHED</t>
  </si>
  <si>
    <t>Article posted to Substack</t>
  </si>
  <si>
    <t>Public summary live</t>
  </si>
  <si>
    <t>Handoff summary (what changed, structural impact, unresolved risks, next fixes)</t>
  </si>
  <si>
    <t>S15 — DISTRIBUTED</t>
  </si>
  <si>
    <t>X / Twitter thread posted</t>
  </si>
  <si>
    <t>LinkedIn post published</t>
  </si>
  <si>
    <t>YouTube video/audio uploaded</t>
  </si>
  <si>
    <t>Facebook post published</t>
  </si>
  <si>
    <t>Substack newsletter pushed</t>
  </si>
  <si>
    <t>Blog cross-post (if applicable)</t>
  </si>
  <si>
    <t>LINKED PAPERS</t>
  </si>
  <si>
    <t>Location</t>
  </si>
  <si>
    <t>NOTES</t>
  </si>
  <si>
    <t>Pipeline Status</t>
  </si>
  <si>
    <t>Not Started</t>
  </si>
  <si>
    <t>In Progress</t>
  </si>
  <si>
    <t>Done</t>
  </si>
  <si>
    <t>Blocked</t>
  </si>
  <si>
    <t>Gate Decision</t>
  </si>
  <si>
    <t>PASS</t>
  </si>
  <si>
    <t>FAIL</t>
  </si>
  <si>
    <t>BORDERLINE</t>
  </si>
  <si>
    <t>CONDITIONAL</t>
  </si>
  <si>
    <t>KILL</t>
  </si>
  <si>
    <t>Pipeline Domain</t>
  </si>
  <si>
    <t>meta</t>
  </si>
  <si>
    <t>S05 — SCORING ⛔</t>
  </si>
  <si>
    <t>S06 — ADVERSARIAL ⛔</t>
  </si>
  <si>
    <t>S07 — DATA ANALYTICS</t>
  </si>
  <si>
    <t>S08 — INTEGRATION</t>
  </si>
  <si>
    <t>S11 — MEDIA GENERATION</t>
  </si>
  <si>
    <t xml:space="preserve">It's a lot simpler than what you think but it's a lot harder </t>
  </si>
  <si>
    <t>RESEARCH INTAKE ENGINE</t>
  </si>
  <si>
    <t>Answer 6 questions. The system configures itself. Every run is saved and repeatable.</t>
  </si>
  <si>
    <t>§1 — INTAKE FORM (6 CONTROL QUESTIONS)</t>
  </si>
  <si>
    <t>FIELD</t>
  </si>
  <si>
    <t>QUESTION</t>
  </si>
  <si>
    <t>WHAT THIS CONTROLS</t>
  </si>
  <si>
    <t>What is the target type?</t>
  </si>
  <si>
    <t>Determines how the case row is created and what metadata schema applies</t>
  </si>
  <si>
    <t>→ cases.target_type
→ sets metadata columns
→ determines link discovery method</t>
  </si>
  <si>
    <t>What is the research intent?</t>
  </si>
  <si>
    <t>Determines what the pipeline DOES — define, collect, rip, map, timeline, etc.</t>
  </si>
  <si>
    <t>→ case_runs.intent
→ selects which workers fire
→ determines output tables populated</t>
  </si>
  <si>
    <t>What source scope?</t>
  </si>
  <si>
    <t>Determines WHERE to search — Wikipedia only, trusted hubs, web-wide, archives, etc.</t>
  </si>
  <si>
    <t>→ case_runs.source_scope
→ filters link discovery
→ sets source_type on links table</t>
  </si>
  <si>
    <t>What depth?</t>
  </si>
  <si>
    <t>Determines HOW MANY links to collect and how many hops deep</t>
  </si>
  <si>
    <t>→ case_runs.depth
→ sets max_links, max_hops
→ controls rip queue size</t>
  </si>
  <si>
    <t>What output do you want?</t>
  </si>
  <si>
    <t>Determines what the system PRODUCES — link list, entities, timeline, workbook, JSON, etc.</t>
  </si>
  <si>
    <t>→ case_runs.output_type
→ selects export workers
→ determines final artifact format</t>
  </si>
  <si>
    <t>How should it organize results?</t>
  </si>
  <si>
    <t>Determines the PRIMARY KEY / GROUP BY for how output is sorted and sectioned</t>
  </si>
  <si>
    <t>→ case_runs.org_mode
→ sets ORDER BY / GROUP BY
→ controls workbook tab structure</t>
  </si>
  <si>
    <t>§2 — PROCESS MAP (WHAT EACH ANSWER TRIGGERS)</t>
  </si>
  <si>
    <t>Q1 OPTIONS — Target Type</t>
  </si>
  <si>
    <t>What It Creates</t>
  </si>
  <si>
    <t>Metadata Schema</t>
  </si>
  <si>
    <t>Link Discovery Method</t>
  </si>
  <si>
    <t>Example</t>
  </si>
  <si>
    <t>single_case</t>
  </si>
  <si>
    <t>1 case row, focused link harvest</t>
  </si>
  <si>
    <t>case_name, canonical_title, aliases, category</t>
  </si>
  <si>
    <t>Wikipedia page → outlinks → See Also → References</t>
  </si>
  <si>
    <t>MKUltra</t>
  </si>
  <si>
    <t>category</t>
  </si>
  <si>
    <t>1 parent case + N child cases</t>
  </si>
  <si>
    <t>category_name, member_count, taxonomy_path</t>
  </si>
  <si>
    <t>Wikipedia category page → all member articles → subcategories</t>
  </si>
  <si>
    <t>Government surveillance programs</t>
  </si>
  <si>
    <t>person</t>
  </si>
  <si>
    <t>1 case row + entity record</t>
  </si>
  <si>
    <t>person_name, birth, death, roles, affiliations</t>
  </si>
  <si>
    <t>Wikipedia bio → career sections → related people → references</t>
  </si>
  <si>
    <t>Sidney Gottlieb</t>
  </si>
  <si>
    <t>organization</t>
  </si>
  <si>
    <t>org_name, type, jurisdiction, parent_org, dates</t>
  </si>
  <si>
    <t>Wikipedia org page → history → controversies → subsidiaries</t>
  </si>
  <si>
    <t>CIA Office of Scientific Intelligence</t>
  </si>
  <si>
    <t>topic</t>
  </si>
  <si>
    <t>1 case row + keyword cluster</t>
  </si>
  <si>
    <t>topic_name, related_terms, domain, era</t>
  </si>
  <si>
    <t>Wikipedia topic → related articles → cross-references</t>
  </si>
  <si>
    <t>Mass surveillance</t>
  </si>
  <si>
    <t>keyword_cluster</t>
  </si>
  <si>
    <t>N search runs → merged link set</t>
  </si>
  <si>
    <t>keywords[], cluster_name, search_strategy</t>
  </si>
  <si>
    <t>Multiple keyword searches → dedupe → rank by overlap</t>
  </si>
  <si>
    <t>mind control + LSD + CIA + experiments</t>
  </si>
  <si>
    <t>Q2 OPTIONS — Research Intent</t>
  </si>
  <si>
    <t>Pipeline Action</t>
  </si>
  <si>
    <t>Workers That Fire</t>
  </si>
  <si>
    <t>Output Tables Populated</t>
  </si>
  <si>
    <t>define_it</t>
  </si>
  <si>
    <t>Collect and synthesize what this IS</t>
  </si>
  <si>
    <t>search → rip → extract_claims → summarize</t>
  </si>
  <si>
    <t>cases, links, raw_pages, extracted_claims</t>
  </si>
  <si>
    <t>aggregate_sources</t>
  </si>
  <si>
    <t>Build a source inventory</t>
  </si>
  <si>
    <t>search → collect_links → classify → score</t>
  </si>
  <si>
    <t>cases, links, source_scores</t>
  </si>
  <si>
    <t>rip_site</t>
  </si>
  <si>
    <t>Download and store specific page(s)</t>
  </si>
  <si>
    <t>rip → store_raw → extract_metadata</t>
  </si>
  <si>
    <t>cases, links, raw_pages</t>
  </si>
  <si>
    <t>find_outgoing_links</t>
  </si>
  <si>
    <t>Map where a page POINTS TO</t>
  </si>
  <si>
    <t>rip → parse_links → classify_targets</t>
  </si>
  <si>
    <t>cases, links (with direction=outgoing)</t>
  </si>
  <si>
    <t>find_best_evidence</t>
  </si>
  <si>
    <t>Rank and tier evidence quality</t>
  </si>
  <si>
    <t>search → rip → extract → score → tier</t>
  </si>
  <si>
    <t>cases, links, raw_pages, extracted_claims, source_scores</t>
  </si>
  <si>
    <t>build_timeline</t>
  </si>
  <si>
    <t>Extract and order dated events</t>
  </si>
  <si>
    <t>rip → extract_dates → extract_events → order</t>
  </si>
  <si>
    <t>cases, links, raw_pages, timeline_events</t>
  </si>
  <si>
    <t>build_entity_map</t>
  </si>
  <si>
    <t>Extract people/orgs/places and their relationships</t>
  </si>
  <si>
    <t>rip → NER → relation_extract → graph_write</t>
  </si>
  <si>
    <t>cases, links, raw_pages, extracted_entities, entity_edges</t>
  </si>
  <si>
    <t>Q3 OPTIONS — Source Scope</t>
  </si>
  <si>
    <t>Where It Searches</t>
  </si>
  <si>
    <t>Domains Allowed</t>
  </si>
  <si>
    <t>Trust Level</t>
  </si>
  <si>
    <t>wikipedia_only</t>
  </si>
  <si>
    <t>en.wikipedia.org only</t>
  </si>
  <si>
    <t>en.wikipedia.org</t>
  </si>
  <si>
    <t>High — encyclopedic, cited, structured</t>
  </si>
  <si>
    <t>trusted_hubs</t>
  </si>
  <si>
    <t>Wikipedia + curated source list</t>
  </si>
  <si>
    <t>wikipedia, archive.org, .gov, .edu, selected .org</t>
  </si>
  <si>
    <t>High — vetted domains only</t>
  </si>
  <si>
    <t>web_wide</t>
  </si>
  <si>
    <t>Any domain, scored after collection</t>
  </si>
  <si>
    <t>Any (scored post-collection)</t>
  </si>
  <si>
    <t>Variable — requires scoring pass</t>
  </si>
  <si>
    <t>domain_specific</t>
  </si>
  <si>
    <t>User-specified domains only</t>
  </si>
  <si>
    <t>[user supplies domain list]</t>
  </si>
  <si>
    <t>User-defined</t>
  </si>
  <si>
    <t>archives_gov_legal</t>
  </si>
  <si>
    <t>FOIA, court records, gov archives</t>
  </si>
  <si>
    <t>.gov, archives.gov, PACER, FOIA portals</t>
  </si>
  <si>
    <t>Very High — primary sources</t>
  </si>
  <si>
    <t>mixed</t>
  </si>
  <si>
    <t>All of the above, layered by trust tier</t>
  </si>
  <si>
    <t>All (tagged by source_class)</t>
  </si>
  <si>
    <t>Tiered — T1/T2/T3 scoring applied</t>
  </si>
  <si>
    <t>Q4 OPTIONS — Depth</t>
  </si>
  <si>
    <t>Max Links</t>
  </si>
  <si>
    <t>Max Hops</t>
  </si>
  <si>
    <t>Rip Queue</t>
  </si>
  <si>
    <t>Cost Estimate</t>
  </si>
  <si>
    <t>top_10</t>
  </si>
  <si>
    <t>0 (seed page only)</t>
  </si>
  <si>
    <t>Top 2-4 pages</t>
  </si>
  <si>
    <t>$— minimal</t>
  </si>
  <si>
    <t>top_25</t>
  </si>
  <si>
    <t>Top 5-8 pages</t>
  </si>
  <si>
    <t>$ low</t>
  </si>
  <si>
    <t>top_50</t>
  </si>
  <si>
    <t>Top 10-15 pages</t>
  </si>
  <si>
    <t>$$ moderate</t>
  </si>
  <si>
    <t>one_hop</t>
  </si>
  <si>
    <t>100+</t>
  </si>
  <si>
    <t>Seed + all outlinks ripped</t>
  </si>
  <si>
    <t>$$$ significant</t>
  </si>
  <si>
    <t>two_hops</t>
  </si>
  <si>
    <t>500+</t>
  </si>
  <si>
    <t>Seed + outlinks + their outlinks</t>
  </si>
  <si>
    <t>$$$$ heavy</t>
  </si>
  <si>
    <t>deep_crawl</t>
  </si>
  <si>
    <t>1000+</t>
  </si>
  <si>
    <t>3+</t>
  </si>
  <si>
    <t>Exhaustive — everything reachable</t>
  </si>
  <si>
    <t>$$$$$ max</t>
  </si>
  <si>
    <t>Q5 OPTIONS — Output Type</t>
  </si>
  <si>
    <t>What Gets Produced</t>
  </si>
  <si>
    <t>Where It Goes</t>
  </si>
  <si>
    <t>link_list</t>
  </si>
  <si>
    <t>Flat list of URLs with metadata</t>
  </si>
  <si>
    <t>CSV / JSON</t>
  </si>
  <si>
    <t>links table → export</t>
  </si>
  <si>
    <t>source_inventory</t>
  </si>
  <si>
    <t>Scored, classified source list</t>
  </si>
  <si>
    <t>CSV / Workbook</t>
  </si>
  <si>
    <t>links + source_scores → export</t>
  </si>
  <si>
    <t>ripped_pages</t>
  </si>
  <si>
    <t>Full page content stored</t>
  </si>
  <si>
    <t>Markdown / HTML in Postgres</t>
  </si>
  <si>
    <t>raw_pages table</t>
  </si>
  <si>
    <t>entities</t>
  </si>
  <si>
    <t>People, orgs, places extracted</t>
  </si>
  <si>
    <t>JSON / CSV</t>
  </si>
  <si>
    <t>extracted_entities + entity_edges → export</t>
  </si>
  <si>
    <t>timeline_events</t>
  </si>
  <si>
    <t>Dated events in order</t>
  </si>
  <si>
    <t>JSON / CSV / Workbook</t>
  </si>
  <si>
    <t>timeline_events → export</t>
  </si>
  <si>
    <t>workbook</t>
  </si>
  <si>
    <t>Multi-tab Excel with all outputs</t>
  </si>
  <si>
    <t>.xlsx</t>
  </si>
  <si>
    <t>All relevant tables → tabs</t>
  </si>
  <si>
    <t>notebook</t>
  </si>
  <si>
    <t>Narrative research document</t>
  </si>
  <si>
    <t>Markdown / HTML</t>
  </si>
  <si>
    <t>All tables → rendered narrative</t>
  </si>
  <si>
    <t>package_json</t>
  </si>
  <si>
    <t>Full structured export for downstream</t>
  </si>
  <si>
    <t>JSON bundle</t>
  </si>
  <si>
    <t>All tables → nested JSON</t>
  </si>
  <si>
    <t>Q6 OPTIONS — Organization Mode</t>
  </si>
  <si>
    <t>Primary Grouping</t>
  </si>
  <si>
    <t>SQL Equivalent</t>
  </si>
  <si>
    <t>Workbook Tab Structure</t>
  </si>
  <si>
    <t>by_case</t>
  </si>
  <si>
    <t>One section per case</t>
  </si>
  <si>
    <t>GROUP BY case_id ORDER BY case_name</t>
  </si>
  <si>
    <t>1 tab per case</t>
  </si>
  <si>
    <t>by_source_type</t>
  </si>
  <si>
    <t>Grouped by domain/type</t>
  </si>
  <si>
    <t>GROUP BY source_type ORDER BY count DESC</t>
  </si>
  <si>
    <t>Tabs: Wikipedia, Gov, Archives, Academic, etc.</t>
  </si>
  <si>
    <t>by_date</t>
  </si>
  <si>
    <t>Chronological</t>
  </si>
  <si>
    <t>ORDER BY event_date ASC</t>
  </si>
  <si>
    <t>Tabs: by decade or era</t>
  </si>
  <si>
    <t>by_entity</t>
  </si>
  <si>
    <t>Grouped by person/org/place</t>
  </si>
  <si>
    <t>GROUP BY entity_id ORDER BY mention_count DESC</t>
  </si>
  <si>
    <t>1 tab per major entity</t>
  </si>
  <si>
    <t>by_confidence</t>
  </si>
  <si>
    <t>Ranked by evidence strength</t>
  </si>
  <si>
    <t>ORDER BY source_score DESC</t>
  </si>
  <si>
    <t>Tabs: Confirmed, Strong, Moderate, Weak, Unverified</t>
  </si>
  <si>
    <t>by_domain</t>
  </si>
  <si>
    <t>Grouped by knowledge domain</t>
  </si>
  <si>
    <t>GROUP BY domain</t>
  </si>
  <si>
    <t>Tabs: Physics, History, Psychology, Legal, etc.</t>
  </si>
  <si>
    <t>§3 — POSTGRES SCHEMA (10 CORE TABLES)</t>
  </si>
  <si>
    <t>Layer 1 — CASE MANAGEMENT</t>
  </si>
  <si>
    <t>TABLE</t>
  </si>
  <si>
    <t>COLUMNS</t>
  </si>
  <si>
    <t>PRIMARY KEY</t>
  </si>
  <si>
    <t>FOREIGN KEYS</t>
  </si>
  <si>
    <t>FED BY Q#</t>
  </si>
  <si>
    <t>cases</t>
  </si>
  <si>
    <t>case_id, canonical_title, target_type, category, aliases[], priority, status, created_at, notes</t>
  </si>
  <si>
    <t>case_id (UUID)</t>
  </si>
  <si>
    <t>case_runs</t>
  </si>
  <si>
    <t>run_id, case_id, intent, source_scope, depth, output_type, org_mode, config_json, started_at, completed_at, status</t>
  </si>
  <si>
    <t>run_id (UUID)</t>
  </si>
  <si>
    <t>case_id → cases</t>
  </si>
  <si>
    <t>Q1–Q6 (ALL)</t>
  </si>
  <si>
    <t>Layer 2 — LINK INVENTORY</t>
  </si>
  <si>
    <t>links</t>
  </si>
  <si>
    <t>case_id → cases
run_id → case_runs</t>
  </si>
  <si>
    <t>source_scores</t>
  </si>
  <si>
    <t>score_id, link_id, trust_tier (T1/T2/T3), relevance_score, authority_score, freshness_score, composite_score, scored_at</t>
  </si>
  <si>
    <t>score_id (UUID)</t>
  </si>
  <si>
    <t>link_id → links</t>
  </si>
  <si>
    <t>Q2 (score intents)</t>
  </si>
  <si>
    <t>Layer 3 — RIPPED CONTENT</t>
  </si>
  <si>
    <t>raw_pages</t>
  </si>
  <si>
    <t>page_id, link_id, case_id, url, title, raw_html_path, markdown_text, word_count, ripped_at, source_domain, http_status</t>
  </si>
  <si>
    <t>page_id (UUID)</t>
  </si>
  <si>
    <t>link_id → links
case_id → cases</t>
  </si>
  <si>
    <t>Q2 (rip intents), Q4</t>
  </si>
  <si>
    <t>Layer 4 — EXTRACTED STRUCTURE</t>
  </si>
  <si>
    <t>extracted_claims</t>
  </si>
  <si>
    <t>claim_id, page_id, case_id, claim_text, claim_type, confidence, evidence_tier, source_sentence, extracted_at</t>
  </si>
  <si>
    <t>claim_id (UUID)</t>
  </si>
  <si>
    <t>page_id → raw_pages
case_id → cases</t>
  </si>
  <si>
    <t>Q2 (define/evidence)</t>
  </si>
  <si>
    <t>extracted_entities</t>
  </si>
  <si>
    <t>entity_id, case_id, entity_name, entity_type (person/org/place/event), aliases[], first_seen_page, mention_count, extracted_at</t>
  </si>
  <si>
    <t>entity_id (UUID)</t>
  </si>
  <si>
    <t>Q2 (entity_map)</t>
  </si>
  <si>
    <t>entity_edges</t>
  </si>
  <si>
    <t>edge_id, source_entity_id, target_entity_id, relationship_type, evidence_page_id, confidence, extracted_at</t>
  </si>
  <si>
    <t>edge_id (UUID)</t>
  </si>
  <si>
    <t>source/target → extracted_entities
evidence → raw_pages</t>
  </si>
  <si>
    <t>event_id, case_id, event_date, date_precision (day/month/year/decade), event_description, source_page_id, entities_involved[], extracted_at</t>
  </si>
  <si>
    <t>event_id (UUID)</t>
  </si>
  <si>
    <t>case_id → cases
source → raw_pages</t>
  </si>
  <si>
    <t>Q2 (timeline)</t>
  </si>
  <si>
    <t>Layer 5 — CONFIG &amp; AI</t>
  </si>
  <si>
    <t>run_configs</t>
  </si>
  <si>
    <t>config_id, run_id, q1_target_type, q2_intent, q3_scope, q4_depth, q5_output, q6_org_mode, custom_params_json, created_at</t>
  </si>
  <si>
    <t>config_id (UUID)</t>
  </si>
  <si>
    <t>run_id → case_runs</t>
  </si>
  <si>
    <t>Q1–Q6 (saved)</t>
  </si>
  <si>
    <t>ai_jobs</t>
  </si>
  <si>
    <t>job_id, run_id, page_id, job_type (summarize/extract/classify/embed), model_used, input_tokens, output_tokens, cost_usd, result_json, started_at, completed_at</t>
  </si>
  <si>
    <t>job_id (UUID)</t>
  </si>
  <si>
    <t>run_id → case_runs
page_id → raw_pages</t>
  </si>
  <si>
    <t>Pipeline (auto)</t>
  </si>
  <si>
    <t>§4 — PIPELINE STAGES (Intake → Postgres → AI → Output)</t>
  </si>
  <si>
    <t>STAGE</t>
  </si>
  <si>
    <t>ACTION</t>
  </si>
  <si>
    <t>POSTGRES TABLES TOUCHED</t>
  </si>
  <si>
    <t>AI REQUIRED?</t>
  </si>
  <si>
    <t>COST TIER</t>
  </si>
  <si>
    <t>P1 — CONFIGURE</t>
  </si>
  <si>
    <t>User fills 6 questions → run_config created</t>
  </si>
  <si>
    <t>cases, case_runs, run_configs</t>
  </si>
  <si>
    <t>Free</t>
  </si>
  <si>
    <t>P2 — SEARCH</t>
  </si>
  <si>
    <t>Discover links based on Q1 target + Q3 scope</t>
  </si>
  <si>
    <t>No (scraper/parser)</t>
  </si>
  <si>
    <t>$</t>
  </si>
  <si>
    <t>P3 — COLLECT</t>
  </si>
  <si>
    <t>Harvest top N links based on Q4 depth</t>
  </si>
  <si>
    <t>links (expanded)</t>
  </si>
  <si>
    <t>P4 — RIP</t>
  </si>
  <si>
    <t>Download and store page content (top 2-4 per case first)</t>
  </si>
  <si>
    <t>$$</t>
  </si>
  <si>
    <t>P5 — EXTRACT (cheap)</t>
  </si>
  <si>
    <t>Local/cheap extraction: metadata, dates, outlinks, basic NER</t>
  </si>
  <si>
    <t>extracted_entities, timeline_events, extracted_claims</t>
  </si>
  <si>
    <t>Yes — LOCAL models (free/cheap)</t>
  </si>
  <si>
    <t>$ (local inference)</t>
  </si>
  <si>
    <t>P6 — CLASSIFY</t>
  </si>
  <si>
    <t>P7 — ENRICH (expensive)</t>
  </si>
  <si>
    <t>AI summarization, claim extraction, relationship mapping — ONLY best pages</t>
  </si>
  <si>
    <t>Yes — PAID API (only for top pages)</t>
  </si>
  <si>
    <t>$$$ (API calls)</t>
  </si>
  <si>
    <t>P8 — EMBED (optional)</t>
  </si>
  <si>
    <t>Yes — embedding model</t>
  </si>
  <si>
    <t>$$ (batch embed)</t>
  </si>
  <si>
    <t>P9 — EXPORT</t>
  </si>
  <si>
    <t>No (SQL + formatting)</t>
  </si>
  <si>
    <t>§5 — EXAMPLE RUN (How It All Connects)</t>
  </si>
  <si>
    <t>ANSWER</t>
  </si>
  <si>
    <t>WHAT HAPPENS</t>
  </si>
  <si>
    <t>Q1: Target type</t>
  </si>
  <si>
    <t>Creates case row: "MKUltra" with target_type=single_case</t>
  </si>
  <si>
    <t>Q2: Intent</t>
  </si>
  <si>
    <t>Pipeline will rip pages AND run NER + relationship extraction</t>
  </si>
  <si>
    <t>Q3: Scope</t>
  </si>
  <si>
    <t>Only searches Wikipedia, archive.org, .gov, .edu domains</t>
  </si>
  <si>
    <t>Q4: Depth</t>
  </si>
  <si>
    <t>Collects 25 links, rips top 5-8 pages</t>
  </si>
  <si>
    <t>Q5: Output</t>
  </si>
  <si>
    <t>Produces multi-tab .xlsx with entities, links, timeline, sources</t>
  </si>
  <si>
    <t>Q6: Organize by</t>
  </si>
  <si>
    <t>Workbook tabs grouped by person/org: "Sidney Gottlieb", "CIA-OSI", "Fort Detrick", etc.</t>
  </si>
  <si>
    <t>Pipeline flow for this run:</t>
  </si>
  <si>
    <t>P1: Config saved → P2: Search Wikipedia+hubs for MKUltra → P3: Collect top 25 links → P4: Rip top 8 pages → P5: Local NER extraction → P6: Score sources → P7: AI enrichment on top 4 pages → P9: Export to .xlsx grouped by entity</t>
  </si>
  <si>
    <t>§6 — CONNECTION TO 7Q SYSTEM</t>
  </si>
  <si>
    <t>This intake engine is the FRONT DOOR. After collection, any case/claim can be fed into:</t>
  </si>
  <si>
    <t>SYSTEM</t>
  </si>
  <si>
    <t>SHEET</t>
  </si>
  <si>
    <t>WHAT IT DOES</t>
  </si>
  <si>
    <t>INPUT FROM INTAKE</t>
  </si>
  <si>
    <t>7Q Classifier</t>
  </si>
  <si>
    <t>7Q_CLASSIFIER</t>
  </si>
  <si>
    <t>Forward: classify any extracted claim/entity</t>
  </si>
  <si>
    <t>extracted_claims, extracted_entities</t>
  </si>
  <si>
    <t>7Q Reverse Prove</t>
  </si>
  <si>
    <t>7Q_REVERSE_PROVE</t>
  </si>
  <si>
    <t>Reverse: try to kill a claim, see what survives</t>
  </si>
  <si>
    <t>extracted_claims (highest confidence)</t>
  </si>
  <si>
    <t>Evidence Protocol</t>
  </si>
  <si>
    <t>7Q_EVIDENCE_PROTOCOL</t>
  </si>
  <si>
    <t>Deep per-item evidence analysis (3-channel scoring)</t>
  </si>
  <si>
    <t>extracted_claims + source_scores</t>
  </si>
  <si>
    <t>Rigor Card</t>
  </si>
  <si>
    <t>7Q_RIGOR_CARD</t>
  </si>
  <si>
    <t>Full truth-score calculation with caps/penalties</t>
  </si>
  <si>
    <t>All extracted data for the case</t>
  </si>
  <si>
    <t>Publication Pipeline</t>
  </si>
  <si>
    <t>PUBLICATION_PIPELINE</t>
  </si>
  <si>
    <t>S01→S15 concept-to-publish workflow</t>
  </si>
  <si>
    <t>Completed rigor card output</t>
  </si>
  <si>
    <t>Converts to</t>
  </si>
  <si>
    <t>David Lowe + Claude · POF 2828 · Theophysics</t>
  </si>
  <si>
    <t>Layer 4b — KNOWLEDGE GRAPH</t>
  </si>
  <si>
    <t>kg_nodes</t>
  </si>
  <si>
    <t>node_id, case_id, node_label, node_type (person/org/place/event/concept/document/claim/date), canonical_name, aliases[], description, source_page_id, confidence, created_at</t>
  </si>
  <si>
    <t>node_id (UUID)</t>
  </si>
  <si>
    <t>Q2 (entity_map
build_timeline
define_it)</t>
  </si>
  <si>
    <t>kg_edges</t>
  </si>
  <si>
    <t>edge_id, source_node_id, target_node_id, relationship_type, relationship_label, direction (directed/undirected), weight (0.0–1.0), evidence_page_id[], confidence, temporal_start, temporal_end, created_at</t>
  </si>
  <si>
    <t>source_node_id → kg_nodes
target_node_id → kg_nodes
evidence → raw_pages</t>
  </si>
  <si>
    <t>kg_clusters</t>
  </si>
  <si>
    <t>cluster_id, case_id, cluster_name, cluster_type (community/topic/timeline/org_hierarchy), node_ids[], description, algorithm_used, created_at</t>
  </si>
  <si>
    <t>cluster_id (UUID)</t>
  </si>
  <si>
    <t>P7 (AI clustering)</t>
  </si>
  <si>
    <t>kg_graph_snapshots</t>
  </si>
  <si>
    <t>snapshot_id, case_id, run_id, graph_json (full nodes+edges export), node_count, edge_count, density, diameter, format (D3/Gephi/Cytoscape/GraphML), created_at</t>
  </si>
  <si>
    <t>snapshot_id (UUID)</t>
  </si>
  <si>
    <t>P9 (export)</t>
  </si>
  <si>
    <t>extracted_claims, extracted_entities, entity_edges, kg_nodes (seed), ai_jobs</t>
  </si>
  <si>
    <t>P7b — GRAPH BUILD</t>
  </si>
  <si>
    <t>Promote extracted entities + edges into kg_nodes + kg_edges. Resolve duplicates. Assign node types. Set edge weights and direction.</t>
  </si>
  <si>
    <t>kg_nodes, kg_edges</t>
  </si>
  <si>
    <t>Yes — entity resolution model</t>
  </si>
  <si>
    <t>$$ (local + API)</t>
  </si>
  <si>
    <t>P7c — CLUSTER (optional)</t>
  </si>
  <si>
    <t>Run community detection on graph. Group nodes into clusters by topic, org hierarchy, or timeline. Label clusters.</t>
  </si>
  <si>
    <t>Yes — graph algorithm (local)</t>
  </si>
  <si>
    <t>$ (local)</t>
  </si>
  <si>
    <t>Generate embeddings for semantic search via pgvector. Attach to nodes for similarity queries.</t>
  </si>
  <si>
    <t>embedding column on kg_nodes, raw_pages, extracted_claims</t>
  </si>
  <si>
    <t>Produce output per Q5 format + Q6 organization. If output includes graph: serialize kg_graph_snapshot in target format.</t>
  </si>
  <si>
    <t>READ all tables. WRITE kg_graph_snapshots.</t>
  </si>
  <si>
    <t>§7 — KNOWLEDGE GRAPH DESIGN</t>
  </si>
  <si>
    <t>The knowledge graph is not just an output. It is the permanent memory of the system.</t>
  </si>
  <si>
    <t>Every case, claim, entity, relationship, and timeline event is a node or edge. The graph grows with every run.</t>
  </si>
  <si>
    <t>NODE TYPE</t>
  </si>
  <si>
    <t>DESCRIPTION</t>
  </si>
  <si>
    <t>EXAMPLES</t>
  </si>
  <si>
    <t>KEY PROPERTIES</t>
  </si>
  <si>
    <t>SOURCE TABLE</t>
  </si>
  <si>
    <t>PERSON</t>
  </si>
  <si>
    <t>Any individual named in the research</t>
  </si>
  <si>
    <t>Sidney Gottlieb, Frank Olson, Allen Dulles</t>
  </si>
  <si>
    <t>name, birth, death, roles[], affiliations[]</t>
  </si>
  <si>
    <t>ORGANIZATION</t>
  </si>
  <si>
    <t>Any agency, company, institution, or group</t>
  </si>
  <si>
    <t>CIA, DOD, Cornell, Edgewood Arsenal</t>
  </si>
  <si>
    <t>name, type, jurisdiction, parent_org, active_dates</t>
  </si>
  <si>
    <t>PLACE</t>
  </si>
  <si>
    <t>Any location — facility, city, country, site</t>
  </si>
  <si>
    <t>Fort Detrick, Montreal, Alcatraz</t>
  </si>
  <si>
    <t>name, coordinates, place_type, country</t>
  </si>
  <si>
    <t>EVENT</t>
  </si>
  <si>
    <t>Any dated happening — meeting, experiment, death, declassification</t>
  </si>
  <si>
    <t>Church Committee 1975, Olson death 1953, FOIA release 1977</t>
  </si>
  <si>
    <t>date, date_precision, description, participants[]</t>
  </si>
  <si>
    <t>CONCEPT</t>
  </si>
  <si>
    <t>Any abstract idea, program, technique, or theory</t>
  </si>
  <si>
    <t>mind control, psychedelic interrogation, ARTICHOKE</t>
  </si>
  <si>
    <t>name, domain, related_concepts[], definition</t>
  </si>
  <si>
    <t>extracted_claims (inferred)</t>
  </si>
  <si>
    <t>DOCUMENT</t>
  </si>
  <si>
    <t>Any source — page, report, filing, article, testimony</t>
  </si>
  <si>
    <t>Senate Report 1977, Wikipedia: MKUltra, CIA Memo 1953</t>
  </si>
  <si>
    <t>url, title, date, source_type, trust_tier</t>
  </si>
  <si>
    <t>raw_pages, links</t>
  </si>
  <si>
    <t>CLAIM</t>
  </si>
  <si>
    <t>Any assertion extracted from a document</t>
  </si>
  <si>
    <t>"CIA administered LSD without consent", "Olson death classified"</t>
  </si>
  <si>
    <t>claim_text, claim_type, confidence, evidence_tier</t>
  </si>
  <si>
    <t>Standalone date node — anchors timeline edges</t>
  </si>
  <si>
    <t>1953, 1977-07-10, 1960s</t>
  </si>
  <si>
    <t>date_value, precision (day/month/year/decade/era)</t>
  </si>
  <si>
    <t>timeline_events (extracted)</t>
  </si>
  <si>
    <t>EDGE TYPE</t>
  </si>
  <si>
    <t>DIRECTION</t>
  </si>
  <si>
    <t>EXAMPLE</t>
  </si>
  <si>
    <t>WEIGHT BASIS</t>
  </si>
  <si>
    <t>CATEGORY</t>
  </si>
  <si>
    <t>WORKED_FOR</t>
  </si>
  <si>
    <t>Person → Org</t>
  </si>
  <si>
    <t>Gottlieb → CIA</t>
  </si>
  <si>
    <t>Duration of employment</t>
  </si>
  <si>
    <t>Affiliation</t>
  </si>
  <si>
    <t>REPORTED_TO</t>
  </si>
  <si>
    <t>Person → Person</t>
  </si>
  <si>
    <t>Gottlieb → Helms</t>
  </si>
  <si>
    <t>Chain of command strength</t>
  </si>
  <si>
    <t>Hierarchy</t>
  </si>
  <si>
    <t>PARTICIPATED_IN</t>
  </si>
  <si>
    <t>Person → Event</t>
  </si>
  <si>
    <t>Olson → Deepcreek Lodge meeting</t>
  </si>
  <si>
    <t>Evidence confidence</t>
  </si>
  <si>
    <t>Participation</t>
  </si>
  <si>
    <t>OCCURRED_AT</t>
  </si>
  <si>
    <t>Event → Place</t>
  </si>
  <si>
    <t>LSD experiments → Edgewood Arsenal</t>
  </si>
  <si>
    <t>Certainty of location</t>
  </si>
  <si>
    <t>OCCURRED_ON</t>
  </si>
  <si>
    <t>Event → Date</t>
  </si>
  <si>
    <t>Olson death → 1953-11-28</t>
  </si>
  <si>
    <t>Temporal</t>
  </si>
  <si>
    <t>FUNDED_BY</t>
  </si>
  <si>
    <t>Org → Org</t>
  </si>
  <si>
    <t>MKULTRA → CIA Technical Services</t>
  </si>
  <si>
    <t>Dollar amount (normalized)</t>
  </si>
  <si>
    <t>Financial</t>
  </si>
  <si>
    <t>PART_OF</t>
  </si>
  <si>
    <t>Org → Org / Concept → Concept</t>
  </si>
  <si>
    <t>ARTICHOKE → MKULTRA</t>
  </si>
  <si>
    <t>Hierarchical containment</t>
  </si>
  <si>
    <t>CLAIMED_BY</t>
  </si>
  <si>
    <t>Claim → Document</t>
  </si>
  <si>
    <t>"LSD given without consent" → Senate Report 1977</t>
  </si>
  <si>
    <t>Source trust tier</t>
  </si>
  <si>
    <t>SUPPORTS</t>
  </si>
  <si>
    <t>Document → Claim</t>
  </si>
  <si>
    <t>CIA Memo 1953 → "Olson was dosed"</t>
  </si>
  <si>
    <t>Evidence strength score</t>
  </si>
  <si>
    <t>CONTRADICTS</t>
  </si>
  <si>
    <t>Claim ↔ Claim</t>
  </si>
  <si>
    <t>"Olson jumped" ↔ "Olson was pushed"</t>
  </si>
  <si>
    <t>Contradiction strength</t>
  </si>
  <si>
    <t>Conflict</t>
  </si>
  <si>
    <t>RELATED_TO</t>
  </si>
  <si>
    <t>Any ↔ Any (undirected)</t>
  </si>
  <si>
    <t>MKULTRA ↔ COINTELPRO</t>
  </si>
  <si>
    <t>Co-occurrence count</t>
  </si>
  <si>
    <t>Semantic</t>
  </si>
  <si>
    <t>MENTIONED_IN</t>
  </si>
  <si>
    <t>Entity → Document</t>
  </si>
  <si>
    <t>Gottlieb → Wikipedia: MKUltra</t>
  </si>
  <si>
    <t>Mention count / prominence</t>
  </si>
  <si>
    <t>Reference</t>
  </si>
  <si>
    <t>PRECEDED_BY</t>
  </si>
  <si>
    <t>Event → Event (temporal)</t>
  </si>
  <si>
    <t>ARTICHOKE 1951 → MKULTRA 1953</t>
  </si>
  <si>
    <t>Time delta (normalized)</t>
  </si>
  <si>
    <t>7C — GRAPH QUERIES (What You Can Ask Postgres + pgvector)</t>
  </si>
  <si>
    <t>QUERY TYPE</t>
  </si>
  <si>
    <t>WHAT IT RETURNS</t>
  </si>
  <si>
    <t>SQL / APPROACH</t>
  </si>
  <si>
    <t>AI ASSIST?</t>
  </si>
  <si>
    <t>Who is connected to this person?</t>
  </si>
  <si>
    <t>All nodes 1 hop from a PERSON node</t>
  </si>
  <si>
    <t>SELECT * FROM kg_edges WHERE source=X OR target=X</t>
  </si>
  <si>
    <t>What documents mention both X and Y?</t>
  </si>
  <si>
    <t>Documents referencing both entities</t>
  </si>
  <si>
    <t>JOIN kg_edges WHERE both entities MENTIONED_IN same doc</t>
  </si>
  <si>
    <t>What's the path between X and Y?</t>
  </si>
  <si>
    <t>Shortest relationship chain</t>
  </si>
  <si>
    <t>Recursive CTE or pgRouting shortest path</t>
  </si>
  <si>
    <t>No (pure SQL)</t>
  </si>
  <si>
    <t>Which claims are contradicted?</t>
  </si>
  <si>
    <t>All CONTRADICTS edge pairs</t>
  </si>
  <si>
    <t>SELECT * FROM kg_edges WHERE relationship_type = 'CONTRADICTS'</t>
  </si>
  <si>
    <t>What happened between Year A and Year B?</t>
  </si>
  <si>
    <t>All EVENT nodes in date range</t>
  </si>
  <si>
    <t>SELECT * FROM kg_nodes JOIN kg_edges ON OCCURRED_ON WHERE date BETWEEN A AND B</t>
  </si>
  <si>
    <t>What cases share the same entity?</t>
  </si>
  <si>
    <t>Cases linked through common nodes</t>
  </si>
  <si>
    <t>GROUP BY entity across multiple case_ids</t>
  </si>
  <si>
    <t>What are the most central nodes?</t>
  </si>
  <si>
    <t>Highest-degree nodes (most connections)</t>
  </si>
  <si>
    <t>COUNT edges per node, ORDER BY DESC</t>
  </si>
  <si>
    <t>Find claims semantically similar to X</t>
  </si>
  <si>
    <t>Nearest neighbors in embedding space</t>
  </si>
  <si>
    <t>pgvector: SELECT * ORDER BY embedding &lt;-&gt; query_embedding LIMIT 10</t>
  </si>
  <si>
    <t>Yes — pgvector</t>
  </si>
  <si>
    <t>What communities exist in the graph?</t>
  </si>
  <si>
    <t>Clusters of densely connected nodes</t>
  </si>
  <si>
    <t>kg_clusters table (pre-computed by community detection)</t>
  </si>
  <si>
    <t>Yes — graph algorithm</t>
  </si>
  <si>
    <t>Which sources are most cited across cases?</t>
  </si>
  <si>
    <t>Documents with highest SUPPORTS/CLAIMED_BY count</t>
  </si>
  <si>
    <t>COUNT edges per DOCUMENT node, ORDER BY DESC</t>
  </si>
  <si>
    <t>7D — GRAPH EXPORT FORMATS (kg_graph_snapshots.format)</t>
  </si>
  <si>
    <t>FORMAT</t>
  </si>
  <si>
    <t>BEST FOR</t>
  </si>
  <si>
    <t>VIEWER / TOOL</t>
  </si>
  <si>
    <t>OUTPUT FROM</t>
  </si>
  <si>
    <t>D3.js JSON</t>
  </si>
  <si>
    <t>Interactive web visualization</t>
  </si>
  <si>
    <t>Any browser — your HTML pages</t>
  </si>
  <si>
    <t>kg_nodes + kg_edges → {nodes:[], links:[]}</t>
  </si>
  <si>
    <t>GraphML</t>
  </si>
  <si>
    <t>Academic/standard exchange format</t>
  </si>
  <si>
    <t>Gephi, yEd, Cytoscape</t>
  </si>
  <si>
    <t>XML export from kg tables</t>
  </si>
  <si>
    <t>Gephi .gexf</t>
  </si>
  <si>
    <t>Desktop graph analysis + visual layout</t>
  </si>
  <si>
    <t>Gephi (free, powerful)</t>
  </si>
  <si>
    <t>gexf export from kg tables</t>
  </si>
  <si>
    <t>Cytoscape JSON</t>
  </si>
  <si>
    <t>Biological / complex network analysis</t>
  </si>
  <si>
    <t>Cytoscape.js (browser) or desktop</t>
  </si>
  <si>
    <t>kg_nodes + kg_edges → Cytoscape format</t>
  </si>
  <si>
    <t>knowledge_graph</t>
  </si>
  <si>
    <t>graph_snapshot</t>
  </si>
  <si>
    <t>by_graph</t>
  </si>
  <si>
    <t>Full knowledge graph: all nodes, edges, clusters for the case</t>
  </si>
  <si>
    <t>D3 JSON / GraphML / Gephi / Cytoscape</t>
  </si>
  <si>
    <t>kg_nodes + kg_edges + kg_clusters → snapshot</t>
  </si>
  <si>
    <t>Frozen graph state at this run — comparable across runs over time</t>
  </si>
  <si>
    <t>kg_graph_snapshots table</t>
  </si>
  <si>
    <t>Graph-first: nodes as primary grouping, edges as navigation</t>
  </si>
  <si>
    <t>Serialize kg_graph_snapshots by cluster</t>
  </si>
  <si>
    <t>Tabs or sections per kg_cluster; visual graph as primary output</t>
  </si>
  <si>
    <t>RESEARCH_INTAKE v1.1</t>
  </si>
  <si>
    <t>6-question intake form → pipeline config → Postgres schema (incl. Knowledge Graph layer) → 7Q system integration</t>
  </si>
  <si>
    <t>HTML intake form → Python workers → Postgres + pgvector backend → D3/Gephi/GraphML export → Export engine</t>
  </si>
  <si>
    <t>§8 — UNIFIED PIPELINE INTEGRATION (Theophysics ←→ OpenIntel)</t>
  </si>
  <si>
    <t>OpenIntel produces the INVESTIGATION. 7Q produces the VERDICT. You cannot get a valid T_FINAL without completing the four-layer investigation first.</t>
  </si>
  <si>
    <t>8A — THE TWO HANDOFF POINTS</t>
  </si>
  <si>
    <t>HANDOFF</t>
  </si>
  <si>
    <t>FROM</t>
  </si>
  <si>
    <t>TO</t>
  </si>
  <si>
    <t>WHAT TRANSFERS</t>
  </si>
  <si>
    <t>TRIGGER CONDITION</t>
  </si>
  <si>
    <t>H1 — KG → OpenIntel</t>
  </si>
  <si>
    <t>Theophysics P7b (Graph Build)</t>
  </si>
  <si>
    <t>OpenIntel L1–L4 Investigation Scoring</t>
  </si>
  <si>
    <t>kg_nodes, kg_edges, extracted_entities, extracted_claims, timeline_events, source_scores</t>
  </si>
  <si>
    <t>kg_graph_snapshots.status = 'ready'</t>
  </si>
  <si>
    <t>H2 — OpenIntel → 7Q</t>
  </si>
  <si>
    <t>OpenIntel L4 (OCS / T-Rating)</t>
  </si>
  <si>
    <t>7Q Rigor Card → Reverse Prove → Publication Pipeline</t>
  </si>
  <si>
    <t>S_soft, C_score, sigma/p-value, OCS, T-rating, claim_contradictions, entity_edges(CONTRADICTS)</t>
  </si>
  <si>
    <t>case_runs.openintel_status = 'scored'</t>
  </si>
  <si>
    <t>8B — LAYER ALIGNMENT (OpenIntel L1–L4 ↔ 7Q Q1–Q7)</t>
  </si>
  <si>
    <t>OpenIntel Layer</t>
  </si>
  <si>
    <t>7Q Mapping</t>
  </si>
  <si>
    <t>How It Feeds 7Q</t>
  </si>
  <si>
    <t>No Translation Needed?</t>
  </si>
  <si>
    <t>L1 — Soft Signals</t>
  </si>
  <si>
    <t>S_soft (0–1)</t>
  </si>
  <si>
    <t>Q5 Dependencies + Q6 Consequences</t>
  </si>
  <si>
    <t>Soft signal score populates Q5 (dependency stress) and Q6 (consequence anomalies). High S_soft = weak dependencies or unexpected consequences.</t>
  </si>
  <si>
    <t>Partial — map S_soft ≥ 0.5 → Q5/Q6 score band</t>
  </si>
  <si>
    <t>L2 — Contradiction Index</t>
  </si>
  <si>
    <t>C_score (0–1)</t>
  </si>
  <si>
    <t>Q7 Falsification + Death Conditions</t>
  </si>
  <si>
    <t>CONTRADICTS edges auto-populate claim_contradictions. Each contradiction = one Death Condition tested. C_score ≥ 0.7 → UNSTABLE → Q7 cannot score &gt; 0.5 until resolved.</t>
  </si>
  <si>
    <t>YES — direct feed. CONTRADICTS edge = Death Condition entry.</t>
  </si>
  <si>
    <t>L3 — Statistical Anomaly</t>
  </si>
  <si>
    <t>sigma / p-value</t>
  </si>
  <si>
    <t>7Q Evidence Protocol — Channel 1: Phenomenon Strength (PS)</t>
  </si>
  <si>
    <t>Sigma IS the Reproducibility + Effect Size components of PS. No translation: sigma → Effect Size score. p-value → Measurement Quality score. PS flows directly into E_final.</t>
  </si>
  <si>
    <t>YES — direct numeric feed. No translation needed.</t>
  </si>
  <si>
    <t>L4 — Evidence (OCS / T-rating)</t>
  </si>
  <si>
    <t>OCS (0–100) / T1–T5</t>
  </si>
  <si>
    <t>7Q Evidence Protocol — Channel 2: Explanatory Depth (ED) + Channel 3: Experiential Coherence (EC)</t>
  </si>
  <si>
    <t>OCS Mechanism score → ED component. OCS Consistency/Stability → EC components. T-rating sets evidence tier caps: T1 = no cap, T2 = PS ≤ 0.85, T3 = WHY-PENALTY applies.</t>
  </si>
  <si>
    <t>Partial — OCS sub-scores map to ED/EC components individually.</t>
  </si>
  <si>
    <t>8C — T_FINAL THRESHOLD MAP (Publication Gate)</t>
  </si>
  <si>
    <t>T_FINAL RANGE</t>
  </si>
  <si>
    <t>7Q CONFIDENCE CLASS</t>
  </si>
  <si>
    <t>OpenIntel T-RATING EQUIV</t>
  </si>
  <si>
    <t>PUBLICATION GATE</t>
  </si>
  <si>
    <t>CAPS THAT COULD BLOCK</t>
  </si>
  <si>
    <t>T_FINAL ≥ 0.95</t>
  </si>
  <si>
    <t>T1 — PROVEN</t>
  </si>
  <si>
    <t>✅ PUBLISH — S05 PASS, proceed to S06 adversarial</t>
  </si>
  <si>
    <t>None — all caps lifted at this level</t>
  </si>
  <si>
    <t>T_FINAL 0.85–0.95</t>
  </si>
  <si>
    <t>0.85–0.90 (strong)</t>
  </si>
  <si>
    <t>T1–T2 boundary</t>
  </si>
  <si>
    <t>✅ PUBLISH — S05 PASS with adversarial flag</t>
  </si>
  <si>
    <t>PREDICTION CAP if Q6 &lt; 0.30</t>
  </si>
  <si>
    <t>T_FINAL 0.75–0.85</t>
  </si>
  <si>
    <t>0.75–0.80 (moderate–good)</t>
  </si>
  <si>
    <t>T2 — STRONG / PROBABLE</t>
  </si>
  <si>
    <t>⚠️ BORDERLINE — flag for adversarial review (S06)</t>
  </si>
  <si>
    <t>FALSIFICATION CAP if Q7 &lt; 0.30; PREDICTION CAP if Q6 &lt; 0.30</t>
  </si>
  <si>
    <t>T_FINAL 0.60–0.75</t>
  </si>
  <si>
    <t>0.60–0.70 (weak–suggestive)</t>
  </si>
  <si>
    <t>T3 — POSSIBLE / UNCONFIRMED</t>
  </si>
  <si>
    <t>❌ FAIL S05 — return to S02 for strengthening or KILL</t>
  </si>
  <si>
    <t>WHY-PENALTY likely; FALSIFICATION CAP likely</t>
  </si>
  <si>
    <t>T_FINAL &lt; 0.60</t>
  </si>
  <si>
    <t>Below 0.60 (dubious–coin flip)</t>
  </si>
  <si>
    <t>T4–T5 — SPECULATIVE / UNVERIFIED</t>
  </si>
  <si>
    <t>❌ KILL or archive — do not proceed</t>
  </si>
  <si>
    <t>Multiple caps; EC &lt; 0.10 flag</t>
  </si>
  <si>
    <t>★  MINIMUM PUBLICATION THRESHOLD: T_FINAL ≥ 0.85</t>
  </si>
  <si>
    <t>T_FINAL &lt; 0.85 → S05 FAIL → return to S02 or KILL</t>
  </si>
  <si>
    <t>T_FINAL 0.85–0.95 → S05 PASS → S06 adversarial required before S07+</t>
  </si>
  <si>
    <t>T_FINAL ≥ 0.95 → S05 PASS → S06 adversarial → fast-track to S07</t>
  </si>
  <si>
    <t>8D — MKULTRA PROOF-OF-CONCEPT (Combined Pipeline)</t>
  </si>
  <si>
    <t>INPUT (from OpenIntel)</t>
  </si>
  <si>
    <t>VALUE</t>
  </si>
  <si>
    <t>7Q CHANNEL</t>
  </si>
  <si>
    <t>7Q SCORE (mapped)</t>
  </si>
  <si>
    <t>CAPS / FLAGS</t>
  </si>
  <si>
    <t>L1: S_soft</t>
  </si>
  <si>
    <t>Q5 ≈ 0.85, Q6 ≈ 0.90 (extreme signals = strong dependency + consequence evidence)</t>
  </si>
  <si>
    <t>None</t>
  </si>
  <si>
    <t>L2: C_score</t>
  </si>
  <si>
    <t>0.82 (UNSTABLE — 21 contradictions)</t>
  </si>
  <si>
    <t>Q7 Falsification / Death Conditions</t>
  </si>
  <si>
    <t>21 contradictions = 21 Death Conditions tested. All survived or resolved. Q7 ≈ 0.88 (high survival rate against severe attack)</t>
  </si>
  <si>
    <t>FALSIFICATION CAP lifted — Q7 &gt; 0.30</t>
  </si>
  <si>
    <t>L3: Statistical Anomaly</t>
  </si>
  <si>
    <t>PS Channel 1: Effect Size + Reproducibility</t>
  </si>
  <si>
    <t>Effect Size ≈ 1.0 (9σ = top of scale). Reproducibility ≈ 0.95 (replicated). PS ≈ 0.97</t>
  </si>
  <si>
    <t>None — WHY-PENALTY does not apply at 9σ</t>
  </si>
  <si>
    <t>L4: OCS / T-rating</t>
  </si>
  <si>
    <t>99/100, T1 — PROVEN</t>
  </si>
  <si>
    <t>ED (Explanatory Depth) + EC (Experiential Coherence)</t>
  </si>
  <si>
    <t>ED ≈ 0.95 (mechanism fully documented via FOIA). EC ≈ 0.90 (lived reality: victims, lawsuits, congressional testimony)</t>
  </si>
  <si>
    <t>None — NO_LIVED_VALIDITY does not apply</t>
  </si>
  <si>
    <t>T_RAW PROJECTION</t>
  </si>
  <si>
    <t>← (Q5+Q6+Q7+PS+ED+EC)/6 — approximate</t>
  </si>
  <si>
    <t>ISO Multiplier (ISO-CONFIRMED 3+)</t>
  </si>
  <si>
    <t>← hardcoded input from weight table</t>
  </si>
  <si>
    <t>T_FINAL PROJECTION</t>
  </si>
  <si>
    <t>← capped at 1.0 (T_RAW × multiplier)</t>
  </si>
  <si>
    <t>RESULT: MKUltra hits T_FINAL ≥ 0.95. Pipeline enforced. Proof of concept: CONFIRMED.</t>
  </si>
  <si>
    <t>Sections</t>
  </si>
  <si>
    <t>Schema</t>
  </si>
  <si>
    <t>Publication Gate</t>
  </si>
  <si>
    <t>T_FINAL ≥ 0.85 required. ISO multiplier blocked if iso_verified_by IS NULL. All 4 auto-caps enforced (FALSIFICATION, PREDICTION, WHY-PENALTY, NO_LIVED_VALIDITY).</t>
  </si>
  <si>
    <t>Proof of Concept</t>
  </si>
  <si>
    <t>MKUltra (OI-CT-0001): T_FINAL = 1.000 — NEAR-CERTAIN ✅ PUBLISH FAST-TRACK. No caps triggered.</t>
  </si>
  <si>
    <t>HTML intake form → Python workers → Postgres + pgvector backend → OpenIntel scoring engine → 7Q Rigor Card → Quartz/Substack publish</t>
  </si>
  <si>
    <t>Last updated</t>
  </si>
  <si>
    <t>v1.2 — §8 integration map, T_FINAL gate, ISO enforcement, MKUltra proof-of-concept, ~28-table unified schema</t>
  </si>
  <si>
    <t>OpenIntel-specific node types (5):</t>
  </si>
  <si>
    <t>CASE</t>
  </si>
  <si>
    <t>Top-level investigation case — the root node every other node connects to</t>
  </si>
  <si>
    <t>MKUltra, COINTELPRO, Stargate</t>
  </si>
  <si>
    <t>case_id, canonical_title, target_type, t_final, publication_gate</t>
  </si>
  <si>
    <t>EVIDENCE_NODE</t>
  </si>
  <si>
    <t>A scored evidence item — bridges raw documents to the scoring engine</t>
  </si>
  <si>
    <t>Church Committee Report (T1), CIA Memo (T2)</t>
  </si>
  <si>
    <t>evidence_cards</t>
  </si>
  <si>
    <t>SOFT_SIGNAL_NODE</t>
  </si>
  <si>
    <t>A detected soft signal — anomalous pattern that flags investigative priority</t>
  </si>
  <si>
    <t>Timing Friction S01, Suppression S03, Absence S05</t>
  </si>
  <si>
    <t>signal_type (S01–S14), score, half_life, maturity_stage</t>
  </si>
  <si>
    <t>soft_signals</t>
  </si>
  <si>
    <t>CONTRADICTION_NODE</t>
  </si>
  <si>
    <t>A detected contradiction between two claims — direct input to Q7 Death Conditions</t>
  </si>
  <si>
    <t>All files destroyed' vs '20,000 pages found'</t>
  </si>
  <si>
    <t>contradiction_type (SIS/CRD/XSC/OAA/IRI), c_score, severity, human_verified</t>
  </si>
  <si>
    <t>claim_contradictions</t>
  </si>
  <si>
    <t>STATISTICAL_ANOMALY</t>
  </si>
  <si>
    <t>A measured statistical deviation — direct feed to PS Channel 1 (Effect Size)</t>
  </si>
  <si>
    <t>9.0σ violent death rate, p &lt; 0.000001</t>
  </si>
  <si>
    <t>sigma, p_value, base_rate, observed_rate, sample_size</t>
  </si>
  <si>
    <t>statistical_anomalies</t>
  </si>
  <si>
    <t>OpenIntel-specific edge types (5):</t>
  </si>
  <si>
    <t>TRIGGERS_SIGNAL</t>
  </si>
  <si>
    <t>Entity/Event → SOFT_SIGNAL_NODE</t>
  </si>
  <si>
    <t>Death cluster → Timing Friction S01</t>
  </si>
  <si>
    <t>Signal activation strength</t>
  </si>
  <si>
    <t>Investigation</t>
  </si>
  <si>
    <t>HAS_CONTRADICTION</t>
  </si>
  <si>
    <t>CASE → CONTRADICTION_NODE</t>
  </si>
  <si>
    <t>MKUltra → 'all files destroyed' vs '20k pages found'</t>
  </si>
  <si>
    <t>C_score contribution weight</t>
  </si>
  <si>
    <t>SCORED_BY</t>
  </si>
  <si>
    <t>CLAIM → EVIDENCE_NODE</t>
  </si>
  <si>
    <t>Olson dosed' → Church Committee Report (T1)</t>
  </si>
  <si>
    <t>OCS evidence score</t>
  </si>
  <si>
    <t>HAS_ANOMALY</t>
  </si>
  <si>
    <t>CASE → STATISTICAL_ANOMALY</t>
  </si>
  <si>
    <t>MKUltra → 9.0σ violent death rate</t>
  </si>
  <si>
    <t>Sigma magnitude (normalized)</t>
  </si>
  <si>
    <t>Statistical</t>
  </si>
  <si>
    <t>INSTANCE_OF</t>
  </si>
  <si>
    <t>CASE → CASE (subcase relationship)</t>
  </si>
  <si>
    <t>MKULTRA → SUBPROJECT-68 (Cameron)</t>
  </si>
  <si>
    <t>Containment depth</t>
  </si>
  <si>
    <t>7A — NODE TYPES (14 unified — 8 shared + 6 OpenIntel-specific)</t>
  </si>
  <si>
    <t>§9 — LINK INGESTION LAYER (Every Link Is a Typed Research Object)</t>
  </si>
  <si>
    <t>Links are not URLs. They are research objects with provenance, role, workflow state, and confidence. These fields make ingestion a pipeline, not a pile.</t>
  </si>
  <si>
    <t>9A — 10 INGESTION FIELDS (Add to every link at intake)</t>
  </si>
  <si>
    <t>DEFINITION</t>
  </si>
  <si>
    <t>OPTIONS (dropdown)</t>
  </si>
  <si>
    <t>DEFAULT</t>
  </si>
  <si>
    <t>POSTGRES COLUMN</t>
  </si>
  <si>
    <t>1. seed_type</t>
  </si>
  <si>
    <t>What kind of starting point triggered this link's discovery</t>
  </si>
  <si>
    <t>case_name | single_url | domain | category_page | search_query | csv_list | workbook_tab</t>
  </si>
  <si>
    <t>case_name</t>
  </si>
  <si>
    <t>links.seed_type</t>
  </si>
  <si>
    <t>2. discovery_mode</t>
  </si>
  <si>
    <t>How the link was actually found — affects trust and workflow</t>
  </si>
  <si>
    <t>wiki_page_links | wiki_references | site_search | web_search | sitemap | page_outlinks | manual_seed | imported_csv</t>
  </si>
  <si>
    <t>wiki_page_links</t>
  </si>
  <si>
    <t>links.discovery_mode</t>
  </si>
  <si>
    <t>3. link_role</t>
  </si>
  <si>
    <t>The structural role this link plays in the research</t>
  </si>
  <si>
    <t>seed | reference | outlink | citation | related_article | archive_mirror | duplicate_candidate | unknown</t>
  </si>
  <si>
    <t>unknown</t>
  </si>
  <si>
    <t>links.link_role</t>
  </si>
  <si>
    <t>4. canonical_url</t>
  </si>
  <si>
    <t>The normalized, de-tracked, canonical form of the URL — collapse duplicates here</t>
  </si>
  <si>
    <t>[computed — normalize on ingest: strip tracking params, resolve redirects, prefer https, strip trailing slash]</t>
  </si>
  <si>
    <t>= normalized(url)</t>
  </si>
  <si>
    <t>links.canonical_url (UNIQUE constraint)</t>
  </si>
  <si>
    <t>5. independence_class</t>
  </si>
  <si>
    <t>How independent is this source from other sources already collected? CRITICAL for evidence quality.</t>
  </si>
  <si>
    <t>primary_source | independent_reporting | quoting_primary | syndicated_copy | same_domain_dup | commentary | unknown</t>
  </si>
  <si>
    <t>links.independence_class</t>
  </si>
  <si>
    <t>6. capture_method</t>
  </si>
  <si>
    <t>How the page content was obtained — affects reproducibility</t>
  </si>
  <si>
    <t>html_scrape | api_result | pdf_extraction | wayback_archive | manual_add | imported_csv</t>
  </si>
  <si>
    <t>html_scrape</t>
  </si>
  <si>
    <t>links.capture_method</t>
  </si>
  <si>
    <t>7. snapshot_status</t>
  </si>
  <si>
    <t>Is this page preserved? Pages disappear. Archive early.</t>
  </si>
  <si>
    <t>not_archived | wayback_saved | local_copy | markdown_ripped | pdf_saved | failed</t>
  </si>
  <si>
    <t>not_archived</t>
  </si>
  <si>
    <t>links.snapshot_status</t>
  </si>
  <si>
    <t>8. triage_status</t>
  </si>
  <si>
    <t>Current workflow state — turns ingestion into a pipeline with a queue</t>
  </si>
  <si>
    <t>new | queued | ripped | classified | scored | reviewed | promoted | discarded</t>
  </si>
  <si>
    <t>new</t>
  </si>
  <si>
    <t>links.triage_status</t>
  </si>
  <si>
    <t>9. keep_reason</t>
  </si>
  <si>
    <t>Short structured reason for keeping — makes later review fast</t>
  </si>
  <si>
    <t>foundational_overview | primary_evidence | timeline_anchor | entity_source | contradiction_source | background_only | weak_but_notable | unknown</t>
  </si>
  <si>
    <t>links.keep_reason</t>
  </si>
  <si>
    <t>10. metadata_confidence</t>
  </si>
  <si>
    <t>Confidence in extracted metadata — not truth confidence, extraction confidence</t>
  </si>
  <si>
    <t>[JSON object: {title, date, source_type, entity_extraction} each 0.0–1.0]</t>
  </si>
  <si>
    <t>{all: null}</t>
  </si>
  <si>
    <t>links.title_confidence, date_confidence, source_type_confidence, entity_confidence (4 REAL columns)</t>
  </si>
  <si>
    <t>9B — CANONICALIZATION + DEDUPLICATION (First-Class Step, Not Cleanup)</t>
  </si>
  <si>
    <t>RULE</t>
  </si>
  <si>
    <t>POSTGRES ENFORCEMENT</t>
  </si>
  <si>
    <t>Normalize URL</t>
  </si>
  <si>
    <t>Lowercase scheme+host, strip trailing slash, resolve protocol</t>
  </si>
  <si>
    <t>HTTP://EN.WIKIPEDIA.ORG/wiki/MKUltra/ → https://en.wikipedia.org/wiki/MKUltra</t>
  </si>
  <si>
    <t>BEFORE INSERT: normalize() function on canonical_url</t>
  </si>
  <si>
    <t>Strip tracking params</t>
  </si>
  <si>
    <t>Remove utm_*, ref=, source=, fbclid=, etc.</t>
  </si>
  <si>
    <t>?utm_source=google&amp;utm_medium=cpc → stripped</t>
  </si>
  <si>
    <t>Regex strip list applied at ingest</t>
  </si>
  <si>
    <t>Collapse duplicates</t>
  </si>
  <si>
    <t>Same canonical_url = same row. New discovery updates metadata, does not insert.</t>
  </si>
  <si>
    <t>Same Wikipedia page found via search + outlink = 1 row, discovery_mode updated</t>
  </si>
  <si>
    <t>UNIQUE(canonical_url, case_id). ON CONFLICT DO UPDATE.</t>
  </si>
  <si>
    <t>Prefer canonical</t>
  </si>
  <si>
    <t>If page has &lt;link rel=canonical&gt;, use that URL as canonical_url</t>
  </si>
  <si>
    <t>Mobile URL → desktop canonical</t>
  </si>
  <si>
    <t>canonical_url may differ from raw url. Both stored.</t>
  </si>
  <si>
    <t>Detect mirrors</t>
  </si>
  <si>
    <t>Same title + same word count from different domains = archive_mirror</t>
  </si>
  <si>
    <t>AP story on 40 news sites = 1 primary + 39 archive_mirror</t>
  </si>
  <si>
    <t>link_role = archive_mirror, independence_class = syndicated_copy</t>
  </si>
  <si>
    <t>9C — INDEPENDENCE CLASS (Strongest Single Upgrade)</t>
  </si>
  <si>
    <t>CLASS</t>
  </si>
  <si>
    <t>EVIDENCE WEIGHT</t>
  </si>
  <si>
    <t>7Q IMPACT</t>
  </si>
  <si>
    <t>primary_source</t>
  </si>
  <si>
    <t>Original document, testimony, filing — not mediated by another source</t>
  </si>
  <si>
    <t>1.0× — full weight in PS reproducibility</t>
  </si>
  <si>
    <t>Counts as independent replicate in PS Channel</t>
  </si>
  <si>
    <t>independent_reporting</t>
  </si>
  <si>
    <t>Different org, different journalist, same finding — arrived independently</t>
  </si>
  <si>
    <t>0.9× — near-full weight</t>
  </si>
  <si>
    <t>Counts as independent replicate</t>
  </si>
  <si>
    <t>quoting_primary</t>
  </si>
  <si>
    <t>Directly quotes or cites a primary source — not independent</t>
  </si>
  <si>
    <t>0.4× — corroborating only</t>
  </si>
  <si>
    <t>Does NOT add to reproducibility count</t>
  </si>
  <si>
    <t>syndicated_copy</t>
  </si>
  <si>
    <t>Same article distributed to multiple outlets (AP, Reuters wire)</t>
  </si>
  <si>
    <t>0.1× — treat as 1 source regardless of count</t>
  </si>
  <si>
    <t>All syndicated copies = 1 source for PS scoring</t>
  </si>
  <si>
    <t>same_domain_dup</t>
  </si>
  <si>
    <t>Same domain, same content, different URL path</t>
  </si>
  <si>
    <t>0.0× — dedupe, keep canonical only</t>
  </si>
  <si>
    <t>Discard all but canonical</t>
  </si>
  <si>
    <t>Analysis, opinion, or interpretation of primary/independent source</t>
  </si>
  <si>
    <t>0.2× — context only</t>
  </si>
  <si>
    <t>EC (Experiential Coherence) input only</t>
  </si>
  <si>
    <t>Not yet classified — requires human or AI review pass</t>
  </si>
  <si>
    <t>0.0× until classified</t>
  </si>
  <si>
    <t>Blocked from scoring until resolved</t>
  </si>
  <si>
    <t>9D — TRIAGE PIPELINE (links table as work queue)</t>
  </si>
  <si>
    <t>MEANING</t>
  </si>
  <si>
    <t>NEXT ACTION</t>
  </si>
  <si>
    <t>AUTO OR HUMAN</t>
  </si>
  <si>
    <t>Just harvested. URL + metadata only.</t>
  </si>
  <si>
    <t>Route to queue</t>
  </si>
  <si>
    <t>Auto</t>
  </si>
  <si>
    <t>queued</t>
  </si>
  <si>
    <t>Scheduled for ripping. Priority set.</t>
  </si>
  <si>
    <t>Rip page content</t>
  </si>
  <si>
    <t>ripped</t>
  </si>
  <si>
    <t>Page content downloaded and stored in raw_pages.</t>
  </si>
  <si>
    <t>Run local extraction (P5)</t>
  </si>
  <si>
    <t>classified</t>
  </si>
  <si>
    <t>independence_class, link_role, source_type assigned.</t>
  </si>
  <si>
    <t>Score source</t>
  </si>
  <si>
    <t>Auto (AI) or Human</t>
  </si>
  <si>
    <t>scored</t>
  </si>
  <si>
    <t>source_scores record created. Trust tier assigned.</t>
  </si>
  <si>
    <t>Human review pass</t>
  </si>
  <si>
    <t>Human</t>
  </si>
  <si>
    <t>reviewed</t>
  </si>
  <si>
    <t>Investigator has seen this link and made a decision.</t>
  </si>
  <si>
    <t>Promote or discard</t>
  </si>
  <si>
    <t>promoted</t>
  </si>
  <si>
    <t>Approved for full AI enrichment (P7). Feeds KG.</t>
  </si>
  <si>
    <t>Run P7 enrich + KG build</t>
  </si>
  <si>
    <t>Auto (post-human approval)</t>
  </si>
  <si>
    <t>discarded</t>
  </si>
  <si>
    <t>Rejected. Kept in DB for audit trail. Never re-queued.</t>
  </si>
  <si>
    <t>Archive. Do not delete.</t>
  </si>
  <si>
    <t>§10 — GUI WIREFRAME SPEC (Excel → Interface)</t>
  </si>
  <si>
    <t>This Excel is the wireframe. Every section maps to a GUI panel. The dropdowns become controls. The rows become table rows.</t>
  </si>
  <si>
    <t>PANEL</t>
  </si>
  <si>
    <t>LOCATION</t>
  </si>
  <si>
    <t>CONTROLS / COLUMNS</t>
  </si>
  <si>
    <t>SOURCE IN EXCEL</t>
  </si>
  <si>
    <t>VISIBILITY</t>
  </si>
  <si>
    <t>Run Setup</t>
  </si>
  <si>
    <t>Left panel, top</t>
  </si>
  <si>
    <t>6 intake questions (Q1–Q6) + seed_type dropdown. One form. Submit button.</t>
  </si>
  <si>
    <t>§1 Intake Form</t>
  </si>
  <si>
    <t>Always visible</t>
  </si>
  <si>
    <t>Source Strategy</t>
  </si>
  <si>
    <t>Left panel, middle</t>
  </si>
  <si>
    <t>discovery_mode checkboxes, domain whitelist, depth slider, max_links counter</t>
  </si>
  <si>
    <t>§2 Process Map (Q3 + Q4)</t>
  </si>
  <si>
    <t>Live Run Settings</t>
  </si>
  <si>
    <t>Center panel, top bar</t>
  </si>
  <si>
    <t>Run ID, case name, status badge, link count, ripped count, promoted count, cost estimate</t>
  </si>
  <si>
    <t>case_runs table</t>
  </si>
  <si>
    <t>Always visible once run starts</t>
  </si>
  <si>
    <t>Link Queue</t>
  </si>
  <si>
    <t>Center panel, main table</t>
  </si>
  <si>
    <t>url, title, domain, link_role, independence_class, triage_status, snapshot_status, keep_reason, score. Filterable + sortable.</t>
  </si>
  <si>
    <t>links table + source_scores</t>
  </si>
  <si>
    <t>Core working surface</t>
  </si>
  <si>
    <t>Review Panel</t>
  </si>
  <si>
    <t>Right panel</t>
  </si>
  <si>
    <t>Selected link preview: title, ripped text snippet, metadata confidence bars, promote / discard / flag buttons, notes field</t>
  </si>
  <si>
    <t>raw_pages + links</t>
  </si>
  <si>
    <t>Shown on row select</t>
  </si>
  <si>
    <t>KG Preview</t>
  </si>
  <si>
    <t>Right panel, tab 2</t>
  </si>
  <si>
    <t>Mini D3 force graph of promoted nodes + edges so far. Click node to open entity card.</t>
  </si>
  <si>
    <t>kg_nodes + kg_edges</t>
  </si>
  <si>
    <t>Shown after first promoted links</t>
  </si>
  <si>
    <t>Export Panel</t>
  </si>
  <si>
    <t>Bottom panel, right</t>
  </si>
  <si>
    <t>Output type selector (Q5), org mode selector (Q6), Export button. Format preview.</t>
  </si>
  <si>
    <t>§2 Q5 + Q6 process map</t>
  </si>
  <si>
    <t>Run History</t>
  </si>
  <si>
    <t>Left panel, bottom</t>
  </si>
  <si>
    <t>Past runs: run ID, case name, date, link count, status, reload config button</t>
  </si>
  <si>
    <t>case_runs + run_configs</t>
  </si>
  <si>
    <t>Collapsible</t>
  </si>
  <si>
    <t>Queue / Logs</t>
  </si>
  <si>
    <t>Bottom panel, left</t>
  </si>
  <si>
    <t>Live log stream: timestamp, stage (P1–P9), message, error flag. Filter by stage.</t>
  </si>
  <si>
    <t>ai_jobs + pipeline events</t>
  </si>
  <si>
    <t>10B — HIDDEN / ADVANCED FIELDS (surface on demand, not by default)</t>
  </si>
  <si>
    <t>These fields exist in the DB but are hidden in the GUI until the user expands 'Advanced':</t>
  </si>
  <si>
    <t>metadata_confidence (all 4 sub-scores)</t>
  </si>
  <si>
    <t>Show in: Review Panel expanded view</t>
  </si>
  <si>
    <t>capture_method</t>
  </si>
  <si>
    <t>Show in: Link Queue expanded columns</t>
  </si>
  <si>
    <t>canonical_url (raw)</t>
  </si>
  <si>
    <t>Show in: dedup audit view only</t>
  </si>
  <si>
    <t>entity_confidence</t>
  </si>
  <si>
    <t>Show in: KG Preview node tooltip</t>
  </si>
  <si>
    <t>hop_depth</t>
  </si>
  <si>
    <t>ai_job_id (link to cost tracker)</t>
  </si>
  <si>
    <t>Show in: Run History cost breakdown</t>
  </si>
  <si>
    <t>link_id, case_id, run_id, url, canonical_url, source_domain, source_type, direction, hop_depth, priority, label, notes, seed_type, discovery_mode, link_role, independence_class, capture_method, snapshot_status, triage_status, keep_reason, title_confidence, date_confidence, source_type_confidence, entity_confidence</t>
  </si>
  <si>
    <t>link_id (UUID)
UNIQUE(canonical_url, case_id)</t>
  </si>
  <si>
    <t>Q3, Q4 + §9 ingestion fields</t>
  </si>
  <si>
    <t>Seed Type</t>
  </si>
  <si>
    <t>Discovery Mode</t>
  </si>
  <si>
    <t>Link Role</t>
  </si>
  <si>
    <t>Independence Class</t>
  </si>
  <si>
    <t>Capture Method</t>
  </si>
  <si>
    <t>Snapshot Status</t>
  </si>
  <si>
    <t>Triage Status</t>
  </si>
  <si>
    <t>Keep Reason</t>
  </si>
  <si>
    <t>single_url</t>
  </si>
  <si>
    <t>category_page</t>
  </si>
  <si>
    <t>search_query</t>
  </si>
  <si>
    <t>csv_list</t>
  </si>
  <si>
    <t>workbook_tab</t>
  </si>
  <si>
    <t>wiki_references</t>
  </si>
  <si>
    <t>site_search</t>
  </si>
  <si>
    <t>web_search</t>
  </si>
  <si>
    <t>sitemap</t>
  </si>
  <si>
    <t>page_outlinks</t>
  </si>
  <si>
    <t>manual_seed</t>
  </si>
  <si>
    <t>imported_csv</t>
  </si>
  <si>
    <t>seed</t>
  </si>
  <si>
    <t>reference</t>
  </si>
  <si>
    <t>outlink</t>
  </si>
  <si>
    <t>citation</t>
  </si>
  <si>
    <t>related_article</t>
  </si>
  <si>
    <t>archive_mirror</t>
  </si>
  <si>
    <t>duplicate_candidate</t>
  </si>
  <si>
    <t>api_result</t>
  </si>
  <si>
    <t>pdf_extraction</t>
  </si>
  <si>
    <t>wayback_archive</t>
  </si>
  <si>
    <t>manual_add</t>
  </si>
  <si>
    <t>wayback_saved</t>
  </si>
  <si>
    <t>local_copy</t>
  </si>
  <si>
    <t>markdown_ripped</t>
  </si>
  <si>
    <t>pdf_saved</t>
  </si>
  <si>
    <t>failed</t>
  </si>
  <si>
    <t>foundational_overview</t>
  </si>
  <si>
    <t>primary_evidence</t>
  </si>
  <si>
    <t>timeline_anchor</t>
  </si>
  <si>
    <t>entity_source</t>
  </si>
  <si>
    <t>contradiction_source</t>
  </si>
  <si>
    <t>background_only</t>
  </si>
  <si>
    <t>weak_but_notable</t>
  </si>
  <si>
    <t>RESEARCH_INTAKE v1.5</t>
  </si>
  <si>
    <t>§1 Intake  §2 Process Map  §3 Postgres Schema  §4 Pipeline  §5 Example  §6 7Q Connection  §7 KG Design  §8 Unified Integration  §9 Link Ingestion Layer  §10 GUI Wireframe Spec</t>
  </si>
  <si>
    <t>Layer 4c — TESTIMONY</t>
  </si>
  <si>
    <t>testimony_records</t>
  </si>
  <si>
    <t>testimony_id, case_id, source_designation, source_type, collection_method, collection_setting, event_date_claimed, event_date_precision, statement_date, recall_delay_days (GENERATED ALWAYS), statement_text, statement_hash (SHA-256, UNIQUE), statement_vector_embedding, credibility_tier (DEFAULT 'UNASSESSED'), spontaneity_score, emotional_valence, sensory_specificity, temporal_specificity, self_doubt_markers, field_protocol_version (DEFAULT 'FIP-1.0'), page_id, run_id, created_at</t>
  </si>
  <si>
    <t>testimony_id (UUID)
UNIQUE(statement_hash)</t>
  </si>
  <si>
    <t>case_id → cases
page_id → raw_pages
run_id → case_runs</t>
  </si>
  <si>
    <t>P5b (testimony
extraction)</t>
  </si>
  <si>
    <t>testimony_credibility_assessment</t>
  </si>
  <si>
    <t>assessment_id, testimony_id, internal_consistency, external_corroboration, contextual_plausibility, source_competence, source_character_bias (all REAL 0-1), reliability_score, confidence_in_assessment, prior_statement_id, drift_detected (BOOLEAN), drift_type CHECK(AMPLIFICATION|ATTENUATION|REVERSAL|MIGRATION|ATTRIBUTION), critical_failure_mode, assessed_by, assessed_at</t>
  </si>
  <si>
    <t>assessment_id (UUID)</t>
  </si>
  <si>
    <t>testimony_id → testimony_records
prior_statement_id → testimony_records</t>
  </si>
  <si>
    <t>Human review
(credibility_tier
cannot auto-assign)</t>
  </si>
  <si>
    <t>HAS_TESTIMONY</t>
  </si>
  <si>
    <t>CASE → testimony_records</t>
  </si>
  <si>
    <t>MKUltra → Frank Olson family testimony</t>
  </si>
  <si>
    <t>credibility_tier weight (UNASSESSED = 0)</t>
  </si>
  <si>
    <t>TESTIMONY_TRIGGERS_SIGNAL</t>
  </si>
  <si>
    <t>testimony_records → SOFT_SIGNAL_NODE</t>
  </si>
  <si>
    <t>Custodial collection → Source Character Bias S12</t>
  </si>
  <si>
    <t>spontaneity_score + setting weight</t>
  </si>
  <si>
    <t>TESTIMONY_HAS_CONTRADICTION</t>
  </si>
  <si>
    <t>testimony_records → CONTRADICTION_NODE (drift_detected = TRUE)</t>
  </si>
  <si>
    <t>2020 account → 2024 account (AMPLIFICATION drift)</t>
  </si>
  <si>
    <t>drift_type severity weight</t>
  </si>
  <si>
    <t>TESTIMONY_SCORED_BY</t>
  </si>
  <si>
    <t>testimony_credibility_assessment → EVIDENCE_NODE</t>
  </si>
  <si>
    <t>FIP-1.0 assessed testimony → T2 Evidence Node</t>
  </si>
  <si>
    <t>reliability_score × confidence_in_assessment</t>
  </si>
  <si>
    <t>7B — EDGE TYPES (18 unified — 9 shared + 5 OpenIntel-specific + 4 testimony)</t>
  </si>
  <si>
    <t>Source Type (Testimony)</t>
  </si>
  <si>
    <t>Collection Method</t>
  </si>
  <si>
    <t>Collection Setting</t>
  </si>
  <si>
    <t>Date Precision</t>
  </si>
  <si>
    <t>Credibility Tier</t>
  </si>
  <si>
    <t>Drift Type</t>
  </si>
  <si>
    <t>FIRST_HAND</t>
  </si>
  <si>
    <t>SECOND_HAND</t>
  </si>
  <si>
    <t>INSTITUTIONAL</t>
  </si>
  <si>
    <t>ANONYMOUS</t>
  </si>
  <si>
    <t>in_person_interview</t>
  </si>
  <si>
    <t>written_statement</t>
  </si>
  <si>
    <t>recorded_audio</t>
  </si>
  <si>
    <t>recorded_video</t>
  </si>
  <si>
    <t>sworn_testimony</t>
  </si>
  <si>
    <t>imported_existing</t>
  </si>
  <si>
    <t>VOLUNTARY</t>
  </si>
  <si>
    <t>REQUESTED</t>
  </si>
  <si>
    <t>CUSTODIAL</t>
  </si>
  <si>
    <t>PUBLIC_RECORD</t>
  </si>
  <si>
    <t>ANONYMOUS_TIP</t>
  </si>
  <si>
    <t>EXACT (+3)</t>
  </si>
  <si>
    <t>DATE_RANGE (+2)</t>
  </si>
  <si>
    <t>MONTH_YEAR (+1)</t>
  </si>
  <si>
    <t>YEAR_ONLY (0)</t>
  </si>
  <si>
    <t>APPROXIMATE (-1)</t>
  </si>
  <si>
    <t>DECADE (-2)</t>
  </si>
  <si>
    <t>UNKNOWN (-2)</t>
  </si>
  <si>
    <t>UNASSESSED (default — blocked)</t>
  </si>
  <si>
    <t>CORROBORATED (T1–T2 eligible)</t>
  </si>
  <si>
    <t>CREDIBLE (T2–T3 eligible)</t>
  </si>
  <si>
    <t>QUESTIONABLE (T3 cap)</t>
  </si>
  <si>
    <t>COMPROMISED (EC only)</t>
  </si>
  <si>
    <t>REJECTED (excluded)</t>
  </si>
  <si>
    <t>AMPLIFICATION</t>
  </si>
  <si>
    <t>ATTENUATION</t>
  </si>
  <si>
    <t>REVERSAL</t>
  </si>
  <si>
    <t>MIGRATION</t>
  </si>
  <si>
    <t>ATTRIBUTION</t>
  </si>
  <si>
    <t>P5b — TESTIMONY EXTRACT</t>
  </si>
  <si>
    <t>Extract testimony signals from ripped pages: spontaneity, sensory specificity, self-doubt markers, emotional valence. Create testimony_records rows. credibility_tier = UNASSESSED until human review.</t>
  </si>
  <si>
    <t>Yes — LOCAL NLP (sentiment + specificity)</t>
  </si>
  <si>
    <t>Score sources, tier evidence, flag duplicates. Apply independence_class. Classify testimony credibility tier (HUMAN REQUIRED — cannot auto-assign).</t>
  </si>
  <si>
    <t>source_scores, links (updated), testimony_credibility_assessment</t>
  </si>
  <si>
    <t>Auto: LOCAL classifier. Human: testimony credibility tier</t>
  </si>
  <si>
    <t>$ (local) + Human review</t>
  </si>
  <si>
    <t>RESEARCH_INTAKE v1.6</t>
  </si>
  <si>
    <t>§1 Intake  §2 Process Map  §3 Postgres Schema  §4 Pipeline  §5 Example  §6 7Q Connection  §7 KG Design  §8 Unified Integration  §9 Link Ingestion  §10 GUI Wireframe</t>
  </si>
  <si>
    <t>~30 unified tables — + testimony_records (23 cols) + testimony_credibility_assessment (13 cols). links extended to 24 cols.</t>
  </si>
  <si>
    <t>v1.6 — Layer 4c Testimony (2 tables). P5b testimony pipeline stage. §7B: 18 edge types (+ 4 testimony). Dropdowns CF–CK (source type, collection method, setting, date precision, credibility tier, drift type). §4 P6 Classify updated to include testimony credibility (human-required).</t>
  </si>
  <si>
    <t>§11 — MEDIA &amp; API INTAKE (YouTube-first, expandable to TikTok, Podcasts, APIs)</t>
  </si>
  <si>
    <t>Same intake logic as links. Enumerate the available universe first. Then select the dimensions you want to pull.</t>
  </si>
  <si>
    <t>YouTube is a full intake subsystem, not a one-off downloader. The same 6-question control structure applies.</t>
  </si>
  <si>
    <t>11A — YOUTUBE INTAKE QUESTIONS (6Q parallel to Link Intake)</t>
  </si>
  <si>
    <t>OPTIONS</t>
  </si>
  <si>
    <t>YT-Q1: Target Type</t>
  </si>
  <si>
    <t>What kind of target are you ingesting from?</t>
  </si>
  <si>
    <t>single_video | channel | playlist | search_query | topic | person_show</t>
  </si>
  <si>
    <t>single_video</t>
  </si>
  <si>
    <t>media_sources.target_type</t>
  </si>
  <si>
    <t>YT-Q2: Asset Types</t>
  </si>
  <si>
    <t>What assets do you want from each video? (multi-select)</t>
  </si>
  <si>
    <t>metadata_only | transcript | captions_timestamped | comments | thumbnails | chapter_markers | audio_file | video_file | related_videos</t>
  </si>
  <si>
    <t>metadata_only + transcript</t>
  </si>
  <si>
    <t>media_sources.asset_types[] (array)</t>
  </si>
  <si>
    <t>YT-Q3: Scope</t>
  </si>
  <si>
    <t>How wide do you cast the net?</t>
  </si>
  <si>
    <t>newest_only | top_N | entire_channel | date_range | keyword_match | playlist_only</t>
  </si>
  <si>
    <t>top_N</t>
  </si>
  <si>
    <t>media_sources.scope</t>
  </si>
  <si>
    <t>YT-Q4: Depth</t>
  </si>
  <si>
    <t>How deep into each target do you go?</t>
  </si>
  <si>
    <t>video_only | video_plus_channel | video_plus_related | video_plus_comments | channel_all_videos | channel_all_with_transcripts</t>
  </si>
  <si>
    <t>video_only</t>
  </si>
  <si>
    <t>media_sources.depth</t>
  </si>
  <si>
    <t>YT-Q5: Output Format</t>
  </si>
  <si>
    <t>What do you want produced from this harvest?</t>
  </si>
  <si>
    <t>csv_index | excel_workbook | transcript_files | json_package | cleaned_text_nlp | citation_clips</t>
  </si>
  <si>
    <t>csv_index + transcript_files</t>
  </si>
  <si>
    <t>media_sources.output_format</t>
  </si>
  <si>
    <t>YT-Q6: Organization Mode</t>
  </si>
  <si>
    <t>How should results be grouped?</t>
  </si>
  <si>
    <t>by_channel | by_video | by_date | by_topic | by_keyword_cluster | by_speaker</t>
  </si>
  <si>
    <t>by_video</t>
  </si>
  <si>
    <t>media_sources.org_mode</t>
  </si>
  <si>
    <t>11B — HARVEST MODES (4 standard tiers, matches link triage depth)</t>
  </si>
  <si>
    <t>MODE</t>
  </si>
  <si>
    <t>WHAT IS COLLECTED</t>
  </si>
  <si>
    <t>VOLUME RISK</t>
  </si>
  <si>
    <t>DEFAULT MAX</t>
  </si>
  <si>
    <t>Channel Inventory</t>
  </si>
  <si>
    <t>Every video: title, date, duration, view count, thumbnail URL. No transcripts.</t>
  </si>
  <si>
    <t>Low — metadata only</t>
  </si>
  <si>
    <t>Free (YT API quota)</t>
  </si>
  <si>
    <t>Unlimited</t>
  </si>
  <si>
    <t>Transcript Harvest</t>
  </si>
  <si>
    <t>Metadata + transcript/captions for each video. No audio/video files.</t>
  </si>
  <si>
    <t>Medium — watch quota</t>
  </si>
  <si>
    <t>$ (API calls)</t>
  </si>
  <si>
    <t>500 videos</t>
  </si>
  <si>
    <t>Research Harvest</t>
  </si>
  <si>
    <t>Metadata + transcript + chapters + related video links. Full research package.</t>
  </si>
  <si>
    <t>Medium-High</t>
  </si>
  <si>
    <t>$$ (API + processing)</t>
  </si>
  <si>
    <t>200 videos</t>
  </si>
  <si>
    <t>Deep Media Harvest</t>
  </si>
  <si>
    <t>Metadata + transcript + comments + audio or video files. CAUTION: volume explodes.</t>
  </si>
  <si>
    <t>⚠️ HIGH — comments alone can be millions</t>
  </si>
  <si>
    <t>$$$ (API + storage)</t>
  </si>
  <si>
    <t>50 videos, comments capped at 500/video</t>
  </si>
  <si>
    <t>11C — MEDIA OBJECT FIELDS (Every harvested video = one row in media_sources)</t>
  </si>
  <si>
    <t>PARALLELS LINKS FIELD</t>
  </si>
  <si>
    <t>media_id</t>
  </si>
  <si>
    <t>UUID primary key</t>
  </si>
  <si>
    <t>Internal ID — not the YouTube video ID</t>
  </si>
  <si>
    <t>link_id</t>
  </si>
  <si>
    <t>platform</t>
  </si>
  <si>
    <t>Source platform: youtube | tiktok | spotify | rumble | odysee | vimeo</t>
  </si>
  <si>
    <t>Expandable — start with youtube</t>
  </si>
  <si>
    <t>source_domain</t>
  </si>
  <si>
    <t>platform_id</t>
  </si>
  <si>
    <t>Native platform identifier (YouTube video ID, TikTok post ID)</t>
  </si>
  <si>
    <t>e.g. dQw4w9WgXcQ</t>
  </si>
  <si>
    <t>canonical_url component</t>
  </si>
  <si>
    <t>canonical_url</t>
  </si>
  <si>
    <t>Normalized, permanent URL. For YT: https://youtube.com/watch?v={id}</t>
  </si>
  <si>
    <t>UNIQUE(canonical_url, case_id)</t>
  </si>
  <si>
    <t>target_type</t>
  </si>
  <si>
    <t>What kind of YouTube object this is</t>
  </si>
  <si>
    <t>video | channel | playlist | comment | transcript_segment</t>
  </si>
  <si>
    <t>seed_type</t>
  </si>
  <si>
    <t>title</t>
  </si>
  <si>
    <t>Video or channel title at time of harvest</t>
  </si>
  <si>
    <t>title (links)</t>
  </si>
  <si>
    <t>channel_id / channel_name</t>
  </si>
  <si>
    <t>Publisher identity</t>
  </si>
  <si>
    <t>Both — ID for linking, name for display</t>
  </si>
  <si>
    <t>published_at</t>
  </si>
  <si>
    <t>Original publish date on platform</t>
  </si>
  <si>
    <t>event_date_claimed (approximate)</t>
  </si>
  <si>
    <t>duration_seconds</t>
  </si>
  <si>
    <t>Video length in seconds</t>
  </si>
  <si>
    <t>INTEGER</t>
  </si>
  <si>
    <t>(no link equivalent)</t>
  </si>
  <si>
    <t>view_count / like_count / comment_count</t>
  </si>
  <si>
    <t>Platform engagement metrics at harvest time</t>
  </si>
  <si>
    <t>Snapshot — not live. Record harvested_at.</t>
  </si>
  <si>
    <t>triage_status</t>
  </si>
  <si>
    <t>Same 8-state pipeline as links</t>
  </si>
  <si>
    <t>new → queued → ripped → classified → scored → reviewed → promoted | discarded</t>
  </si>
  <si>
    <t>independence_class</t>
  </si>
  <si>
    <t>Same independence classification as links — critical for PS scoring</t>
  </si>
  <si>
    <t>primary_source | independent_reporting | quoting_primary | syndicated | commentary | unknown</t>
  </si>
  <si>
    <t>transcript_status</t>
  </si>
  <si>
    <t>Has transcript been obtained and stored?</t>
  </si>
  <si>
    <t>none | auto_captions | manual_captions | third_party | whisper_generated | failed</t>
  </si>
  <si>
    <t>snapshot_status</t>
  </si>
  <si>
    <t>transcript_text</t>
  </si>
  <si>
    <t>Full transcript stored as text. Linked to raw_pages equivalent.</t>
  </si>
  <si>
    <t>FK → media_transcripts table</t>
  </si>
  <si>
    <t>raw_html_path / markdown_text</t>
  </si>
  <si>
    <t>asset_types_collected</t>
  </si>
  <si>
    <t>Which assets were successfully harvested (array)</t>
  </si>
  <si>
    <t>metadata | transcript | captions | comments | audio | video | thumbnails</t>
  </si>
  <si>
    <t>keep_reason</t>
  </si>
  <si>
    <t>Why this video is worth keeping</t>
  </si>
  <si>
    <t>Same vocab as links keep_reason + primary_testimony | expert_statement | event_documentation</t>
  </si>
  <si>
    <t>kg_node_id</t>
  </si>
  <si>
    <t>FK to kg_nodes once promoted to graph</t>
  </si>
  <si>
    <t>Node type: DOCUMENT (for citation) or EVENT (for event documentation)</t>
  </si>
  <si>
    <t>(links → kg_nodes via MENTIONED_IN)</t>
  </si>
  <si>
    <t>11D — POSTGRES TABLES (Media Intake Layer)</t>
  </si>
  <si>
    <t>KEY COLUMNS</t>
  </si>
  <si>
    <t>PIPELINE STAGE</t>
  </si>
  <si>
    <t>media_sources</t>
  </si>
  <si>
    <t>media_id, case_id, run_id, platform, platform_id, canonical_url, target_type, title, channel_id, channel_name, published_at, duration_seconds, view_count, like_count, comment_count, triage_status, independence_class, transcript_status, asset_types_collected[], keep_reason, kg_node_id, harvested_at</t>
  </si>
  <si>
    <t>media_id (UUID)
UNIQUE(canonical_url, case_id)</t>
  </si>
  <si>
    <t>case_id → cases
run_id → case_runs
kg_node_id → kg_nodes</t>
  </si>
  <si>
    <t>P4b (harvest)</t>
  </si>
  <si>
    <t>media_transcripts</t>
  </si>
  <si>
    <t>transcript_id, media_id, transcript_source (auto_captions|manual|whisper), full_text, word_count, language, confidence_score, segments_json (timestamped array), extracted_at</t>
  </si>
  <si>
    <t>transcript_id (UUID)</t>
  </si>
  <si>
    <t>media_id → media_sources</t>
  </si>
  <si>
    <t>media_comments</t>
  </si>
  <si>
    <t>comment_id, media_id, platform_comment_id, author_id, comment_text, comment_hash, published_at, like_count, reply_count, parent_comment_id, harvested_at</t>
  </si>
  <si>
    <t>comment_id (UUID)
UNIQUE(comment_hash)</t>
  </si>
  <si>
    <t>media_id → media_sources
parent → media_comments (self-ref)</t>
  </si>
  <si>
    <t>P4b (Deep only)</t>
  </si>
  <si>
    <t>11E — PLATFORM EXPANSION MAP (YouTube first, then...)</t>
  </si>
  <si>
    <t>PLATFORM</t>
  </si>
  <si>
    <t>API / METHOD</t>
  </si>
  <si>
    <t>SCHEMA DELTA</t>
  </si>
  <si>
    <t>VOLUME WARNING</t>
  </si>
  <si>
    <t>YouTube</t>
  </si>
  <si>
    <t>🟢 BUILD FIRST</t>
  </si>
  <si>
    <t>YouTube Data API v3 + yt-dlp</t>
  </si>
  <si>
    <t>Full spec above</t>
  </si>
  <si>
    <t>Comments: cap at 500/video. Channel: cap at 500 videos.</t>
  </si>
  <si>
    <t>TikTok</t>
  </si>
  <si>
    <t>⏳ Later</t>
  </si>
  <si>
    <t>TikTok Research API (academic) or unofficial scrape</t>
  </si>
  <si>
    <t>+ duet_id, stitch_id, sound_id, hashtags[]</t>
  </si>
  <si>
    <t>⚠️ Viral = millions of comments. Cap aggressively.</t>
  </si>
  <si>
    <t>Spotify / Podcasts</t>
  </si>
  <si>
    <t>Spotify API + podcast RSS feeds</t>
  </si>
  <si>
    <t>Low risk — audio metadata is small</t>
  </si>
  <si>
    <t>Rumble / Odysee</t>
  </si>
  <si>
    <t>Scrape (no official API)</t>
  </si>
  <si>
    <t>Minimal delta from YT schema</t>
  </si>
  <si>
    <t>Low volume — niche platforms</t>
  </si>
  <si>
    <t>Twitter/X</t>
  </si>
  <si>
    <t>⚠️ Expensive</t>
  </si>
  <si>
    <t>X API v2 (paid tier required for research volume)</t>
  </si>
  <si>
    <t>⚠️ API cost high. Full threads = deep recursion.</t>
  </si>
  <si>
    <t>Reddit</t>
  </si>
  <si>
    <t>Reddit API (free tier limited) or Pushshift</t>
  </si>
  <si>
    <t>⚠️ Thread depth can be enormous. Cap replies.</t>
  </si>
  <si>
    <t>P4b — MEDIA HARVEST (optional)</t>
  </si>
  <si>
    <t>Harvest YouTube/media targets per YT-Q1–Q6. Metadata always. Transcripts, comments, audio/video per harvest mode. Cap defaults enforced.</t>
  </si>
  <si>
    <t>media_sources, media_transcripts, media_comments</t>
  </si>
  <si>
    <t>No (scraper + YT API)</t>
  </si>
  <si>
    <t>$–$$$ (API quota + storage)</t>
  </si>
  <si>
    <t>Layer 4d — MEDIA</t>
  </si>
  <si>
    <t>P4b</t>
  </si>
  <si>
    <t>comment_id, media_id, platform_comment_id, author_id, comment_text, comment_hash (UNIQUE), published_at, like_count, reply_count, parent_comment_id, harvested_at</t>
  </si>
  <si>
    <t>media_id → media_sources
parent_comment_id → media_comments</t>
  </si>
  <si>
    <t>YT Target Type</t>
  </si>
  <si>
    <t>YT Asset Types</t>
  </si>
  <si>
    <t>YT Scope</t>
  </si>
  <si>
    <t>YT Depth</t>
  </si>
  <si>
    <t>YT Output Format</t>
  </si>
  <si>
    <t>YT Org Mode</t>
  </si>
  <si>
    <t>Harvest Mode</t>
  </si>
  <si>
    <t>channel</t>
  </si>
  <si>
    <t>playlist</t>
  </si>
  <si>
    <t>person_show</t>
  </si>
  <si>
    <t>metadata_only</t>
  </si>
  <si>
    <t>transcript</t>
  </si>
  <si>
    <t>captions_timestamped</t>
  </si>
  <si>
    <t>comments</t>
  </si>
  <si>
    <t>thumbnails</t>
  </si>
  <si>
    <t>chapter_markers</t>
  </si>
  <si>
    <t>audio_file</t>
  </si>
  <si>
    <t>video_file</t>
  </si>
  <si>
    <t>related_videos</t>
  </si>
  <si>
    <t>newest_only</t>
  </si>
  <si>
    <t>entire_channel</t>
  </si>
  <si>
    <t>date_range</t>
  </si>
  <si>
    <t>keyword_match</t>
  </si>
  <si>
    <t>playlist_only</t>
  </si>
  <si>
    <t>video_plus_channel</t>
  </si>
  <si>
    <t>video_plus_related</t>
  </si>
  <si>
    <t>video_plus_comments</t>
  </si>
  <si>
    <t>channel_all_videos</t>
  </si>
  <si>
    <t>channel_all_with_transcripts</t>
  </si>
  <si>
    <t>csv_index</t>
  </si>
  <si>
    <t>excel_workbook</t>
  </si>
  <si>
    <t>transcript_files</t>
  </si>
  <si>
    <t>json_package</t>
  </si>
  <si>
    <t>cleaned_text_nlp</t>
  </si>
  <si>
    <t>citation_clips</t>
  </si>
  <si>
    <t>by_channel</t>
  </si>
  <si>
    <t>by_topic</t>
  </si>
  <si>
    <t>by_keyword_cluster</t>
  </si>
  <si>
    <t>by_speaker</t>
  </si>
  <si>
    <t>channel_inventory</t>
  </si>
  <si>
    <t>transcript_harvest</t>
  </si>
  <si>
    <t>research_harvest</t>
  </si>
  <si>
    <t>deep_media_harvest</t>
  </si>
  <si>
    <t>youtube</t>
  </si>
  <si>
    <t>tiktok</t>
  </si>
  <si>
    <t>spotify</t>
  </si>
  <si>
    <t>rumble</t>
  </si>
  <si>
    <t>odysee</t>
  </si>
  <si>
    <t>twitter_x</t>
  </si>
  <si>
    <t>reddit</t>
  </si>
  <si>
    <t>vimeo</t>
  </si>
  <si>
    <t>RESEARCH_INTAKE v1.7</t>
  </si>
  <si>
    <t>§1 Intake  §2 Process Map  §3 Postgres Schema  §4 Pipeline  §5 Example  §6 7Q Connection  §7 KG Design  §8 Unified Integration  §9 Link Ingestion  §10 GUI Wireframe  §11 Media/API Intake</t>
  </si>
  <si>
    <t>~33 unified tables — + media_sources + media_transcripts + media_comments. Layer 4d MEDIA. Pipeline P4b.</t>
  </si>
  <si>
    <t>v1.7 — §11 Media/API Intake (YouTube-first). 6 YT intake questions. 4 harvest modes. 3 new tables (media_sources, media_transcripts, media_comments). P4b pipeline stage. Platform expansion map (YT/TikTok/Spotify/Rumble/X/Reddit). Dropdowns CL–CS.</t>
  </si>
  <si>
    <t>Q1 — Target Type</t>
  </si>
  <si>
    <t>Single Case Investigation</t>
  </si>
  <si>
    <t>Category / Program Family</t>
  </si>
  <si>
    <t>Person / Individual</t>
  </si>
  <si>
    <t>Organization / Institution</t>
  </si>
  <si>
    <t>Topic / Subject Area</t>
  </si>
  <si>
    <t>Keyword Cluster</t>
  </si>
  <si>
    <t>Q2 — Research Intent</t>
  </si>
  <si>
    <t>Define &amp; Describe It</t>
  </si>
  <si>
    <t>Aggregate Sources</t>
  </si>
  <si>
    <t>Rip a Site</t>
  </si>
  <si>
    <t>Find Outgoing Links</t>
  </si>
  <si>
    <t>Find Best Evidence</t>
  </si>
  <si>
    <t>Build a Timeline</t>
  </si>
  <si>
    <t>Map Entities &amp; Relationships</t>
  </si>
  <si>
    <t>Q3 — Source Scope</t>
  </si>
  <si>
    <t>Wikipedia Only</t>
  </si>
  <si>
    <t>Trusted Hubs (Wikipedia + .gov + .edu + archives)</t>
  </si>
  <si>
    <t>Web-Wide</t>
  </si>
  <si>
    <t>Specific Domain(s)</t>
  </si>
  <si>
    <t>Archives &amp; Legal Sources Only</t>
  </si>
  <si>
    <t>Mixed / Let System Decide</t>
  </si>
  <si>
    <t>Q4 — Depth</t>
  </si>
  <si>
    <t>Top 10 Links</t>
  </si>
  <si>
    <t>Top 25 Links</t>
  </si>
  <si>
    <t>Top 50 Links</t>
  </si>
  <si>
    <t>One Hop Out</t>
  </si>
  <si>
    <t>Two Hops Out</t>
  </si>
  <si>
    <t>Deep Crawl</t>
  </si>
  <si>
    <t>Q5 — Output Format</t>
  </si>
  <si>
    <t>Link List Only</t>
  </si>
  <si>
    <t>Source Inventory</t>
  </si>
  <si>
    <t>Ripped Pages</t>
  </si>
  <si>
    <t>Entities &amp; Relationships</t>
  </si>
  <si>
    <t>Timeline of Events</t>
  </si>
  <si>
    <t>Full Workbook</t>
  </si>
  <si>
    <t>Research Notebook</t>
  </si>
  <si>
    <t>JSON Data Package</t>
  </si>
  <si>
    <t>Graph Snapshot</t>
  </si>
  <si>
    <t>Q6 — Organization Mode</t>
  </si>
  <si>
    <t>By Case</t>
  </si>
  <si>
    <t>By Source Type</t>
  </si>
  <si>
    <t>By Date / Chronological</t>
  </si>
  <si>
    <t>By Entity (Person / Org / Place)</t>
  </si>
  <si>
    <t>By Confidence Level</t>
  </si>
  <si>
    <t>By Domain / Subject</t>
  </si>
  <si>
    <t>By Graph Structure</t>
  </si>
  <si>
    <t>Q1 codes (lookup)</t>
  </si>
  <si>
    <t>Q2 codes (lookup)</t>
  </si>
  <si>
    <t>Q3 codes (lookup)</t>
  </si>
  <si>
    <t>Q4 codes (lookup)</t>
  </si>
  <si>
    <t>Q5 codes (lookup)</t>
  </si>
  <si>
    <t>Q6 codes (lookup)</t>
  </si>
  <si>
    <t>↳ notes</t>
  </si>
  <si>
    <t>Add context, aliases, notes, or scope clarification</t>
  </si>
  <si>
    <t>Describe specific intent, keywords, what you're looking for</t>
  </si>
  <si>
    <t>Specify domains, include/exclude sources, trusted exceptions</t>
  </si>
  <si>
    <t>Note any hard limits, priority sources to rip first</t>
  </si>
  <si>
    <t>Describe what the output should contain, who will use it</t>
  </si>
  <si>
    <t>Describe how you want results grouped, primary audience</t>
  </si>
  <si>
    <t>SYSTEM CODE</t>
  </si>
  <si>
    <t>Include media / video sources?</t>
  </si>
  <si>
    <t>Activates P4b media harvest — YouTube, podcast, or other platform sources</t>
  </si>
  <si>
    <t>Paste YouTube URLs, channel names, playlists, or search terms</t>
  </si>
  <si>
    <t>Q8</t>
  </si>
  <si>
    <t>What media asset types do you want?</t>
  </si>
  <si>
    <t>Determines what gets harvested per video — metadata only is fast/free, transcripts cost more</t>
  </si>
  <si>
    <t>e.g. 'transcripts only, no comments' or 'full research harvest on top 20 videos'</t>
  </si>
  <si>
    <t>Q9</t>
  </si>
  <si>
    <t>Media harvest mode?</t>
  </si>
  <si>
    <t>Sets depth + volume cap. Deep Media Harvest can explode — defaults keep it disciplined</t>
  </si>
  <si>
    <t>Note any specific channels to exclude, max video count, or date range constraints</t>
  </si>
  <si>
    <t>MEDIA / API INTAKE (optional — Q7–Q9)</t>
  </si>
  <si>
    <t>Skip Q7–Q9 if you are only harvesting links. Fill them in to activate the YouTube / media pipeline.</t>
  </si>
  <si>
    <t>YOUR ANSWER ▼ + notes below ↓</t>
  </si>
  <si>
    <t>TESTIMONY EDGES (4):</t>
  </si>
  <si>
    <t>date precision (day=1.0, decade=0.3)</t>
  </si>
  <si>
    <t>Evidence_type, ocs_score, t_rating, replication_status</t>
  </si>
  <si>
    <t>OPENINTEL EVIDENCE TAXONOMY</t>
  </si>
  <si>
    <t>38 Evidence Types · 6 Tiers · Every claim gets tagged</t>
  </si>
  <si>
    <t>TYPE #</t>
  </si>
  <si>
    <t>TIER</t>
  </si>
  <si>
    <t>EVIDENCE TYPE</t>
  </si>
  <si>
    <t>DB TAG</t>
  </si>
  <si>
    <t>T-RANGE</t>
  </si>
  <si>
    <t>T1 — PRIMARY SOURCES (Strongest)</t>
  </si>
  <si>
    <t>T1</t>
  </si>
  <si>
    <t>Declassified Government Documents</t>
  </si>
  <si>
    <t>FOIA releases, presidential libraries, national archives. Official records released through declassification processes.</t>
  </si>
  <si>
    <t>MKUltra, COINTELPRO, Operation Northwoods</t>
  </si>
  <si>
    <t>declass_gov</t>
  </si>
  <si>
    <t>T1–T2</t>
  </si>
  <si>
    <t>Congressional/Parliamentary Records</t>
  </si>
  <si>
    <t>Hearing transcripts, committee reports, testimony under oath. Official legislative investigation records.</t>
  </si>
  <si>
    <t>Church Committee, Pike Committee, 9/11 Commission</t>
  </si>
  <si>
    <t>congress_record</t>
  </si>
  <si>
    <t>Court Records</t>
  </si>
  <si>
    <t>Indictments, trial transcripts, depositions, settlements, judgments. Legally produced under rules of evidence.</t>
  </si>
  <si>
    <t>Orlikow v. United States, Alex Jones defamation trial</t>
  </si>
  <si>
    <t>court_record</t>
  </si>
  <si>
    <t>Official Admissions/Apologies</t>
  </si>
  <si>
    <t>Government or institutional acknowledgments of past programs or wrongdoing.</t>
  </si>
  <si>
    <t>Tuskegee apology, Lavon Affair admission, CIA torture acknowledgment</t>
  </si>
  <si>
    <t>official_admit</t>
  </si>
  <si>
    <t>Leaked Documents</t>
  </si>
  <si>
    <t>Unauthorized disclosures verified by publication in major outlets with editorial oversight.</t>
  </si>
  <si>
    <t>Wikileaks cables, Snowden docs, Pentagon Papers, Panama Papers</t>
  </si>
  <si>
    <t>leaked_doc</t>
  </si>
  <si>
    <t>Scientific/Peer-Reviewed Studies</t>
  </si>
  <si>
    <t>Published research with methodology, replication, and peer review in recognized journals.</t>
  </si>
  <si>
    <t>NTP fluoride study, VAERS data analysis</t>
  </si>
  <si>
    <t>peer_reviewed</t>
  </si>
  <si>
    <t>Financial Records</t>
  </si>
  <si>
    <t>SEC filings, tax records, campaign finance disclosures, foundation grants. Auditable money trails.</t>
  </si>
  <si>
    <t>SEC filings, FEC disclosures, foundation 990s</t>
  </si>
  <si>
    <t>financial_record</t>
  </si>
  <si>
    <t>Physical/Forensic Evidence</t>
  </si>
  <si>
    <t>Lab results, autopsy reports, engineering analysis, DNA, materials testing. Physical evidence with chain of custody.</t>
  </si>
  <si>
    <t>Building 7 structural analysis, JFK bullet forensics, DNA evidence</t>
  </si>
  <si>
    <t>forensic</t>
  </si>
  <si>
    <t>T2 — SECONDARY SOURCES (Supporting)</t>
  </si>
  <si>
    <t>T2</t>
  </si>
  <si>
    <t>Investigative Journalism</t>
  </si>
  <si>
    <t>Long-form reporting by named journalists at identifiable outlets with editorial oversight.</t>
  </si>
  <si>
    <t>Gary Webb (Dark Alliance), Seymour Hersh, Carl Bernstein</t>
  </si>
  <si>
    <t>invest_journalism</t>
  </si>
  <si>
    <t>T2–T3</t>
  </si>
  <si>
    <t>Witness Testimony (Named)</t>
  </si>
  <si>
    <t>Identified individuals making statements on the record, under real name, often under oath.</t>
  </si>
  <si>
    <t>David Grusch UAP testimony, Frank Serpico</t>
  </si>
  <si>
    <t>witness_named</t>
  </si>
  <si>
    <t>Whistleblower Disclosures</t>
  </si>
  <si>
    <t>Named insiders with verifiable employment history. Identity known, unlike anonymous sources.</t>
  </si>
  <si>
    <t>Edward Snowden, Daniel Ellsberg, Chelsea Manning</t>
  </si>
  <si>
    <t>whistleblower</t>
  </si>
  <si>
    <t>Academic Research/Analysis</t>
  </si>
  <si>
    <t>University-affiliated researchers publishing analysis. Scholarly work with citations, not peer-reviewed primary science.</t>
  </si>
  <si>
    <t>University policy papers, historical analysis, meta-studies</t>
  </si>
  <si>
    <t>academic_research</t>
  </si>
  <si>
    <t>Photographic/Video Evidence (Verified)</t>
  </si>
  <si>
    <t>Authenticated imagery with chain of custody or metadata verification.</t>
  </si>
  <si>
    <t>Bohemian Grove footage, Abu Ghraib photos</t>
  </si>
  <si>
    <t>verified_media</t>
  </si>
  <si>
    <t>FOIA Request Responses</t>
  </si>
  <si>
    <t>Specific responses to targeted FOIA requests, not just declassified dumps. Targeted information retrieval.</t>
  </si>
  <si>
    <t>Black Vault archives, specific FOIA releases</t>
  </si>
  <si>
    <t>foia_response</t>
  </si>
  <si>
    <t>Audit Reports</t>
  </si>
  <si>
    <t>GAO, inspector general, independent auditor findings. Official watchdog assessments.</t>
  </si>
  <si>
    <t>Pentagon audit failures, TARP oversight, IG reports</t>
  </si>
  <si>
    <t>audit_report</t>
  </si>
  <si>
    <t>T3 — TERTIARY SOURCES (Contextual)</t>
  </si>
  <si>
    <t>T3</t>
  </si>
  <si>
    <t>Statistical/Pattern Analysis</t>
  </si>
  <si>
    <t>Data showing anomalies, correlations, or patterns that require explanation. Quantitative evidence.</t>
  </si>
  <si>
    <t>Excess death data, financial market anomalies, voting pattern analysis</t>
  </si>
  <si>
    <t>stat_pattern</t>
  </si>
  <si>
    <t>T2–T4</t>
  </si>
  <si>
    <t>Circumstantial Evidence Chains</t>
  </si>
  <si>
    <t>Individual facts each confirmed but whose connection is inferred. Timing coincidences, personnel overlaps, funding trails.</t>
  </si>
  <si>
    <t>Personnel overlap patterns, funding trail connections, timing coincidences</t>
  </si>
  <si>
    <t>circumstantial</t>
  </si>
  <si>
    <t>T3–T4</t>
  </si>
  <si>
    <t>Historical Precedent</t>
  </si>
  <si>
    <t>"This has happened before, therefore plausible now." Confirmed precedents make future claims more plausible, not proven.</t>
  </si>
  <si>
    <t>Confirmed false flags making future false flag claims plausible</t>
  </si>
  <si>
    <t>historical_prec</t>
  </si>
  <si>
    <t>Expert Opinion (Named)</t>
  </si>
  <si>
    <t>Credentialed experts making assessments outside formal publications. Professional opinion, not peer-reviewed.</t>
  </si>
  <si>
    <t>Architects &amp; Engineers for 9/11 Truth, retired intelligence officers</t>
  </si>
  <si>
    <t>expert_opinion</t>
  </si>
  <si>
    <t>Contemporaneous News Reports</t>
  </si>
  <si>
    <t>News coverage from the time of the event. Shows what was known when, and what changed over time.</t>
  </si>
  <si>
    <t>Day-of news broadcasts, initial wire reports, early coverage</t>
  </si>
  <si>
    <t>contemp_news</t>
  </si>
  <si>
    <t>Correspondence/Communications</t>
  </si>
  <si>
    <t>Emails, letters, memos not officially declassified but obtained through leaks or litigation.</t>
  </si>
  <si>
    <t>Podesta emails, Climategate emails, corporate memos</t>
  </si>
  <si>
    <t>correspondence</t>
  </si>
  <si>
    <t>T4 — WEAK SOURCES (Requires Corroboration)</t>
  </si>
  <si>
    <t>T4</t>
  </si>
  <si>
    <t>Anonymous Sources</t>
  </si>
  <si>
    <t>Unnamed insiders, anonymous tips, "sources say" reporting. May be accurate but unverifiable.</t>
  </si>
  <si>
    <t>"Sources familiar with the matter," anonymous tips to journalists</t>
  </si>
  <si>
    <t>anon_source</t>
  </si>
  <si>
    <t>T3–T5</t>
  </si>
  <si>
    <t>Secondhand/Hearsay Accounts</t>
  </si>
  <si>
    <t>Someone reporting what someone else told them. No direct witness access.</t>
  </si>
  <si>
    <t>"My uncle worked at Area 51 and said..."</t>
  </si>
  <si>
    <t>hearsay</t>
  </si>
  <si>
    <t>T4–T5</t>
  </si>
  <si>
    <t>Unverified Documents</t>
  </si>
  <si>
    <t>Documents of unknown provenance. Cannot confirm authenticity or chain of custody.</t>
  </si>
  <si>
    <t>Majestic 12 papers, some UFO documents</t>
  </si>
  <si>
    <t>unverified_doc</t>
  </si>
  <si>
    <t>Confession/Deathbed Statement</t>
  </si>
  <si>
    <t>Individuals claiming involvement or knowledge, often without corroboration. Uncorroborated personal claims.</t>
  </si>
  <si>
    <t>E. Howard Hunt JFK claims, deathbed confessions</t>
  </si>
  <si>
    <t>confession</t>
  </si>
  <si>
    <t>Pattern Recognition Without Controls</t>
  </si>
  <si>
    <t>Seeing connections without base-rate comparison. Pattern matching without statistical rigor.</t>
  </si>
  <si>
    <t>Predictive programming claims, numerology connections</t>
  </si>
  <si>
    <t>uncontrolled_pattern</t>
  </si>
  <si>
    <t>Archived/Deleted Content</t>
  </si>
  <si>
    <t>Wayback Machine captures, screenshots of deleted posts. Authentic capture but context may be missing.</t>
  </si>
  <si>
    <t>Archived tweets, deleted articles, Wayback captures</t>
  </si>
  <si>
    <t>archived_content</t>
  </si>
  <si>
    <t>Documentary Film Claims</t>
  </si>
  <si>
    <t>Documentaries mix evidence types. Individual claims within them need separate rating.</t>
  </si>
  <si>
    <t>Claims within Zeitgeist, Loose Change, etc. (rate each claim separately)</t>
  </si>
  <si>
    <t>documentary_claim</t>
  </si>
  <si>
    <t>T5 — WEAKEST SOURCES (Flag but Don’t Dismiss)</t>
  </si>
  <si>
    <t>T5</t>
  </si>
  <si>
    <t>Single-Source Claims</t>
  </si>
  <si>
    <t>Entire theory rests on one person's testimony with no corroboration whatsoever.</t>
  </si>
  <si>
    <t>Project Monarch, Dulce Base</t>
  </si>
  <si>
    <t>single_source</t>
  </si>
  <si>
    <t>Anonymous Internet Posts</t>
  </si>
  <si>
    <t>Chan boards, anonymous forums, unsigned blog posts. No identity, no accountability.</t>
  </si>
  <si>
    <t>QAnon drops, anonymous "insider" claims, 4chan posts</t>
  </si>
  <si>
    <t>anon_post</t>
  </si>
  <si>
    <t>Channeled/Psychic/Revelatory Material</t>
  </si>
  <si>
    <t>Claims based on spiritual revelation rather than physical evidence. Prophecy claims without scriptural basis.</t>
  </si>
  <si>
    <t>Psychic claims, channeled messages, non-scriptural prophecy</t>
  </si>
  <si>
    <t>channeled</t>
  </si>
  <si>
    <t>Unverifiable by Design</t>
  </si>
  <si>
    <t>Claims structured so they cannot be tested. "They destroyed all the evidence," "it's too classified."</t>
  </si>
  <si>
    <t>Self-sealing claims, unfalsifiable assertions</t>
  </si>
  <si>
    <t>unverifiable</t>
  </si>
  <si>
    <t>Circular/Self-Referencing</t>
  </si>
  <si>
    <t>Source A cites Source B, which cites Source A. Common in conspiracy echo chambers.</t>
  </si>
  <si>
    <t>Blog networks citing each other, circular Wikipedia references</t>
  </si>
  <si>
    <t>circular_ref</t>
  </si>
  <si>
    <t>AI-Generated/Manipulated Content</t>
  </si>
  <si>
    <t>Deepfakes, AI-written articles presented as reporting. Growing problem since 2023.</t>
  </si>
  <si>
    <t>Deepfake videos, AI-generated articles, synthetic media</t>
  </si>
  <si>
    <t>ai_generated</t>
  </si>
  <si>
    <t>N — NEGATIVE EVIDENCE (Absence as Data)</t>
  </si>
  <si>
    <t>Cuts across all tiers</t>
  </si>
  <si>
    <t>N</t>
  </si>
  <si>
    <t>Conspicuous Absence</t>
  </si>
  <si>
    <t>Records that should exist but don't. Missing frames, redacted pages, destroyed files. The absence itself is data.</t>
  </si>
  <si>
    <t>Helms ordering MKUltra destruction, missing JFK files, destroyed tapes</t>
  </si>
  <si>
    <t>conspic_absence</t>
  </si>
  <si>
    <t>ALL</t>
  </si>
  <si>
    <t>Suppression Evidence</t>
  </si>
  <si>
    <t>Documented attempts to silence, deplatform, discredit, or punish. The suppression itself is a data point, not proof of claim.</t>
  </si>
  <si>
    <t>Deplatforming patterns, whistleblower retaliation, media blackouts</t>
  </si>
  <si>
    <t>suppression</t>
  </si>
  <si>
    <t>Non-Denial Denials</t>
  </si>
  <si>
    <t>Official responses that don't actually deny the specific claim. "We don't comment on intelligence matters."</t>
  </si>
  <si>
    <t>"We neither confirm nor deny," evasive testimony, non-responsive answers</t>
  </si>
  <si>
    <t>non_denial</t>
  </si>
  <si>
    <t>Classification/Redaction Patterns</t>
  </si>
  <si>
    <t>What's redacted can reveal what's sensitive. Bulk redactions in specific areas suggest something worth hiding.</t>
  </si>
  <si>
    <t>FOIA redaction patterns, selective classification, over-classification</t>
  </si>
  <si>
    <t>redaction_pattern</t>
  </si>
  <si>
    <t>OPENINTEL CASE TYPE CLASSIFICATION</t>
  </si>
  <si>
    <t>Structure-based, not source-based. What the thing IS, not who confirmed it.</t>
  </si>
  <si>
    <t>CASE TYPE</t>
  </si>
  <si>
    <t>CORE QUESTION</t>
  </si>
  <si>
    <t>KEY MODULES LOADED</t>
  </si>
  <si>
    <t>What really happened?</t>
  </si>
  <si>
    <t>A specific thing happened. The debate is about what, how, and why. Official explanation exists. Alternative theories exist. Focus on timelines, contradictions, forensics.</t>
  </si>
  <si>
    <t>JFK assassination, 9/11, January 6, Las Vegas shooting, MH370, TWA 800</t>
  </si>
  <si>
    <t>Timeline (detailed), Contradictions, Evidence Cards, Witness Testimony, Open Questions, Media Gallery, Narrative Comparison</t>
  </si>
  <si>
    <t>PROGRAM</t>
  </si>
  <si>
    <t>Does/did this operation exist?</t>
  </si>
  <si>
    <t>An ongoing or historical operation with organizational structure. Doesn't matter if government admitted it or not — the question is whether the program exists or existed.</t>
  </si>
  <si>
    <t>MKUltra, COINTELPRO, mass surveillance, geoengineering, vaccine programs, Project Stargate</t>
  </si>
  <si>
    <t>Evidence Cards (heavy), Document Cards, Timeline, Contradictions, Claims (rated), Scientific Studies, Open Questions</t>
  </si>
  <si>
    <t>INSTITUTION</t>
  </si>
  <si>
    <t>What do they actually do vs. what's claimed?</t>
  </si>
  <si>
    <t>A real organization whose actual power and activities are debated. They exist. The question is what they actually do versus what's claimed.</t>
  </si>
  <si>
    <t>Federal Reserve, Bilderberg, WEF, BlackRock, CFR, Rothschild network, Trilateral Commission</t>
  </si>
  <si>
    <t>Narrative Comparison (documented vs claimed), Key Entities, Financial Records, Evidence Cards, Methodology</t>
  </si>
  <si>
    <t>PROPAGANDA</t>
  </si>
  <si>
    <t>Who is running this campaign and why?</t>
  </si>
  <si>
    <t>Coordinated information campaigns, manufactured consensus, suppression operations. Bot campaigns, paid influencers, media coordination, narrative manufacturing. THE BLUE OCEAN TEMPLATE.</t>
  </si>
  <si>
    <t>Operation Mockingbird, Twitter Files, COVID lab leak suppression, Iraq WMD campaign, Candace Owens hit campaign</t>
  </si>
  <si>
    <t>Propagation Map, Campaign Timeline, Bot/Coordination Analysis, Financial Trail, Suppression Log, Narrative Comparison</t>
  </si>
  <si>
    <t>PROPHETIC</t>
  </si>
  <si>
    <t>What does scripture say and what's the fulfillment status?</t>
  </si>
  <si>
    <t>Biblical prophecy, prediction claims, fulfillment tracking. Source is scripture, not speculation. Your 1,554-prophecy database.</t>
  </si>
  <si>
    <t>End times, mark of the beast, third temple, Ezekiel 38, rapture, four horsemen</t>
  </si>
  <si>
    <t>Scripture Card, Interpretation Comparison (4 traditions), Fulfillment Tracker, Timeline, Cross-Links</t>
  </si>
  <si>
    <t>PHENOMENON</t>
  </si>
  <si>
    <t>What is being observed and what explains it?</t>
  </si>
  <si>
    <t>Something observable that lacks explanation. The thing is reported. The cause is debated. Focus on sighting data and physical evidence.</t>
  </si>
  <si>
    <t>UFOs/UAP, Bigfoot, cattle mutilation, Bermuda Triangle, Skinwalker Ranch, crop circles</t>
  </si>
  <si>
    <t>Sighting Map, Physical Evidence Cards, Scientific Explanation, Witness Testimony, Media Gallery</t>
  </si>
  <si>
    <t>PATTERN</t>
  </si>
  <si>
    <t>Do these data points indicate coordination?</t>
  </si>
  <si>
    <t>No single event, but convergent data points suggesting coordination. Financial anomalies, suspicious clusters, timing coincidences, personnel overlaps. Requires statistical analysis.</t>
  </si>
  <si>
    <t>Clinton body count, financial market anomalies, death clusters, personnel overlap patterns</t>
  </si>
  <si>
    <t>Pattern Analysis, Statistical Data, Base Rate Comparison, Evidence Cards, Entity Map, Timeline</t>
  </si>
  <si>
    <t>SYMBOL</t>
  </si>
  <si>
    <t>What does this actually mean vs. what's claimed?</t>
  </si>
  <si>
    <t>Symbol interpretation theories. Shows what the symbol actually is (historical origin, documented meaning) vs. conspiracy interpretation. Heavy on images and visual evidence.</t>
  </si>
  <si>
    <t>Dollar bill symbols, Denver Airport murals, Masonic architecture, Saturn worship, 666</t>
  </si>
  <si>
    <t>Media Gallery (heavy), Symbol Origin Card, Interpretation Comparison, Historical Context, Cross-Links</t>
  </si>
  <si>
    <t>CULTURAL</t>
  </si>
  <si>
    <t>Is this fake/staged/not what it seems?</t>
  </si>
  <si>
    <t>Pop culture or reality-questioning theories. Often T5 but massive search volume. Demonstrates the rating system works honestly on T5 content just as well as T1.</t>
  </si>
  <si>
    <t>Paul McCartney replaced, Stevie Wonder can see, moon landing hoax, Mandela Effect, Tartaria, Finland doesn't exist</t>
  </si>
  <si>
    <t>Claims, Evidence Cards (thin), Pattern Analysis, Contradictions, "What Would Need to Be True"</t>
  </si>
  <si>
    <t>OPENINTEL MODULE TEMPLATES</t>
  </si>
  <si>
    <t>24 modules · 10–15 per case page · Snap in/out by case type</t>
  </si>
  <si>
    <t>MODULE NAME</t>
  </si>
  <si>
    <t>WHAT IT CAPTURES</t>
  </si>
  <si>
    <t>FIELD SCHEMA (DB COLUMNS)</t>
  </si>
  <si>
    <t>USED IN</t>
  </si>
  <si>
    <t>BASE MODULES (Every case page)</t>
  </si>
  <si>
    <t>5W Card</t>
  </si>
  <si>
    <t>BASE</t>
  </si>
  <si>
    <t>Who/What/When/Where/Why quick reference. The entry point for every case page.</t>
  </si>
  <si>
    <t>case_id, who, what, when_start, when_end, where, why, summary, last_updated</t>
  </si>
  <si>
    <t>Verdict</t>
  </si>
  <si>
    <t>One-sentence assessment with T-rating. The bottom line.</t>
  </si>
  <si>
    <t>case_id, verdict_text, t_rating, confidence, evidence_count, last_reviewed, reviewer</t>
  </si>
  <si>
    <t>Timeline</t>
  </si>
  <si>
    <t>Chronological events with dates, sources, and verification status.</t>
  </si>
  <si>
    <t>event_id, case_id, date, time, event_desc, source_id, source_type, verified, disputed, notes</t>
  </si>
  <si>
    <t>Entity Card</t>
  </si>
  <si>
    <t>Person/Org — name, role, connections, first appearance, current status.</t>
  </si>
  <si>
    <t>entity_id, entity_type, name, aliases, role, affiliations, first_appearance, status, connections[], bio</t>
  </si>
  <si>
    <t>Evidence Card</t>
  </si>
  <si>
    <t>Single piece of evidence — type (1–38), source, tier, verification. The atomic unit of the platform.</t>
  </si>
  <si>
    <t>evidence_id, case_id, evidence_type_id, tier, source_url, source_name, description, verification_status, date_added, notes</t>
  </si>
  <si>
    <t>Related Cases</t>
  </si>
  <si>
    <t>Cross-links to cases sharing entities, patterns, or methods.</t>
  </si>
  <si>
    <t>link_id, case_id_from, case_id_to, relationship_type, shared_entities[], shared_evidence[], strength</t>
  </si>
  <si>
    <t>"What Would Change This"</t>
  </si>
  <si>
    <t>Single piece of evidence that would upgrade or downgrade the rating. The intellectual honesty anchor.</t>
  </si>
  <si>
    <t>case_id, upgrade_condition, downgrade_condition, current_gap, last_assessed</t>
  </si>
  <si>
    <t>10 Things Card</t>
  </si>
  <si>
    <t>Surprising verified facts most people don't know. The viral section — drives social sharing.</t>
  </si>
  <si>
    <t>case_id, fact_number, fact_text, source_id, surprise_score, verified</t>
  </si>
  <si>
    <t>Video/Image Card</t>
  </si>
  <si>
    <t>Authenticated media with metadata, chain of custody.</t>
  </si>
  <si>
    <t>media_id, case_id, media_type, url, title, source, date_captured, metadata, chain_of_custody, authenticated</t>
  </si>
  <si>
    <t>Wikipedia Card</t>
  </si>
  <si>
    <t>What Wikipedia says vs what the primary sources say. Comparison tool for editorial bias detection.</t>
  </si>
  <si>
    <t>case_id, wiki_url, wiki_summary, wiki_last_edited, primary_source_summary, divergence_score, edit_war_flag</t>
  </si>
  <si>
    <t>SPECIALIZED MODULES (Loaded by case type)</t>
  </si>
  <si>
    <t>Narrative Comparison</t>
  </si>
  <si>
    <t>SPECIALIZED</t>
  </si>
  <si>
    <t>Official vs Alternative side-by-side. Two-column analysis of competing accounts.</t>
  </si>
  <si>
    <t>comparison_id, case_id, official_claim, alternative_claim, evidence_for_official[], evidence_for_alt[], assessment</t>
  </si>
  <si>
    <t>EVENT, PROGRAM, INST</t>
  </si>
  <si>
    <t>Contradictions</t>
  </si>
  <si>
    <t>Where accounts conflict with each other. Direct comparison of conflicting statements/evidence.</t>
  </si>
  <si>
    <t>contradiction_id, case_id, source_a, claim_a, source_b, claim_b, resolution_status, significance</t>
  </si>
  <si>
    <t>EVENT, PROGRAM</t>
  </si>
  <si>
    <t>Document Card</t>
  </si>
  <si>
    <t>Specific document — title, classification, source, key content. For primary source document archives.</t>
  </si>
  <si>
    <t>doc_id, case_id, title, classification_level, source_archive, date_created, date_released, key_content, url, pages</t>
  </si>
  <si>
    <t>PROGRAM, EVENT</t>
  </si>
  <si>
    <t>Witness Card</t>
  </si>
  <si>
    <t>Named testimony — who, when, under what conditions, corroboration status.</t>
  </si>
  <si>
    <t>witness_id, case_id, name, date_testimony, conditions, under_oath, corroborated_by[], credibility_notes</t>
  </si>
  <si>
    <t>EVENT, PHENOMENON</t>
  </si>
  <si>
    <t>Financial Trail</t>
  </si>
  <si>
    <t>Money flows, payments, funding sources. Follow the money — auditable financial connections.</t>
  </si>
  <si>
    <t>flow_id, case_id, from_entity, to_entity, amount, currency, date, source_doc, purpose, verified</t>
  </si>
  <si>
    <t>INST, PROP, PROG</t>
  </si>
  <si>
    <t>Propagation Map</t>
  </si>
  <si>
    <t>How information/narrative spread. Bot detection, timing analysis, organic vs coordinated spread patterns.</t>
  </si>
  <si>
    <t>prop_id, case_id, platform, first_appearance, spread_timeline[], bot_indicators, organic_score, coordination_score</t>
  </si>
  <si>
    <t>Suppression Log</t>
  </si>
  <si>
    <t>Documented censorship, deplatforming, institutional force applied. Gemini's P_s suppression pressure variable.</t>
  </si>
  <si>
    <t>suppression_id, case_id, date, action_type, actor, target, platform, evidence_url, severity, institutional_force_score</t>
  </si>
  <si>
    <t>PROPAGANDA, PROG</t>
  </si>
  <si>
    <t>Bot/Coordination Analysis</t>
  </si>
  <si>
    <t>Account age distributions, message timing, uniformity metrics. Detecting inorganic amplification.</t>
  </si>
  <si>
    <t>analysis_id, case_id, platform, account_age_dist, timing_pattern, message_uniformity, hashtag_coordination, verdict</t>
  </si>
  <si>
    <t>Scripture Card</t>
  </si>
  <si>
    <t>Bible reference, original language text, 4 interpretive traditions comparison.</t>
  </si>
  <si>
    <t>scripture_id, book, chapter, verse_start, verse_end, hebrew_greek_text, english_text, tradition_1, tradition_2, tradition_3, tradition_4</t>
  </si>
  <si>
    <t>Fulfillment Tracker</t>
  </si>
  <si>
    <t>Prophecy status — unfulfilled/partially/fulfilled + supporting evidence for each status.</t>
  </si>
  <si>
    <t>prophecy_id, scripture_id, status, fulfillment_evidence[], partial_indicators[], date_assessed, confidence</t>
  </si>
  <si>
    <t>Interpretation Comparison</t>
  </si>
  <si>
    <t>MULTI-USE</t>
  </si>
  <si>
    <t>4-tradition comparison for prophecy; multi-view comparison for symbols. How different schools read the same thing.</t>
  </si>
  <si>
    <t>interp_id, case_id, subject, interpretation_1, source_1, interpretation_2, source_2, interpretation_3, source_3, interpretation_4, source_4</t>
  </si>
  <si>
    <t>PROPHETIC, SYMBOL</t>
  </si>
  <si>
    <t>Sighting Map</t>
  </si>
  <si>
    <t>Geographic locations of reported observations. Latitude/longitude, date, witness count, corroboration.</t>
  </si>
  <si>
    <t>sighting_id, case_id, lat, lon, location_name, date, time, witness_count, description, corroborated, evidence_ids[]</t>
  </si>
  <si>
    <t>Symbol Origin Card</t>
  </si>
  <si>
    <t>Historical origin of symbol, documented meaning, conspiracy interpretation. Origin vs. claim.</t>
  </si>
  <si>
    <t>symbol_id, case_id, symbol_name, historical_origin, documented_meaning, conspiracy_interpretation, earliest_known_use, images[]</t>
  </si>
  <si>
    <t>Pattern Analysis</t>
  </si>
  <si>
    <t>Statistical data, base rates, anomaly detection. Quantitative pattern assessment with controls.</t>
  </si>
  <si>
    <t>pattern_id, case_id, data_points[], base_rate, observed_rate, sigma_deviation, p_value, methodology, controls_applied</t>
  </si>
  <si>
    <t>PATTERN, CULTURAL</t>
  </si>
  <si>
    <t>CASE × MODULE MATRIX</t>
  </si>
  <si>
    <t>MODULE</t>
  </si>
  <si>
    <t>INSTIT.</t>
  </si>
  <si>
    <t>PROPAG.</t>
  </si>
  <si>
    <t>PROPH.</t>
  </si>
  <si>
    <t>PHENOM.</t>
  </si>
  <si>
    <t>BASE MODULES</t>
  </si>
  <si>
    <t>✓</t>
  </si>
  <si>
    <t>SPECIALIZED MODULES</t>
  </si>
  <si>
    <t>MODULES PER CASE TYPE</t>
  </si>
  <si>
    <t>Case Type</t>
  </si>
  <si>
    <t>T1 — Primary Sources</t>
  </si>
  <si>
    <t>T2 — Secondary Sources</t>
  </si>
  <si>
    <t>T3 — Tertiary Sources</t>
  </si>
  <si>
    <t>T4 — Weak Sources</t>
  </si>
  <si>
    <t>T5 — Weakest Sources</t>
  </si>
  <si>
    <t>N — Negative Evidence</t>
  </si>
  <si>
    <t>Evidence Type (T1)</t>
  </si>
  <si>
    <t>1 — Declassified Government Documents</t>
  </si>
  <si>
    <t>2 — Congressional/Parliamentary Records</t>
  </si>
  <si>
    <t>3 — Court Records</t>
  </si>
  <si>
    <t>4 — Official Admissions/Apologies</t>
  </si>
  <si>
    <t>5 — Leaked Documents</t>
  </si>
  <si>
    <t>6 — Scientific/Peer-Reviewed Studies</t>
  </si>
  <si>
    <t>7 — Financial Records</t>
  </si>
  <si>
    <t>8 — Physical/Forensic Evidence</t>
  </si>
  <si>
    <t>Evidence Type (T2)</t>
  </si>
  <si>
    <t>9 — Investigative Journalism</t>
  </si>
  <si>
    <t>10 — Witness Testimony (Named)</t>
  </si>
  <si>
    <t>11 — Whistleblower Disclosures</t>
  </si>
  <si>
    <t>12 — Academic Research/Analysis</t>
  </si>
  <si>
    <t>13 — Photo/Video Evidence (Verified)</t>
  </si>
  <si>
    <t>14 — FOIA Request Responses</t>
  </si>
  <si>
    <t>15 — Audit Reports</t>
  </si>
  <si>
    <t>Evidence Type (T3)</t>
  </si>
  <si>
    <t>16 — Statistical/Pattern Analysis</t>
  </si>
  <si>
    <t>17 — Circumstantial Evidence Chains</t>
  </si>
  <si>
    <t>18 — Historical Precedent</t>
  </si>
  <si>
    <t>19 — Expert Opinion (Named)</t>
  </si>
  <si>
    <t>20 — Contemporaneous News Reports</t>
  </si>
  <si>
    <t>21 — Correspondence/Communications</t>
  </si>
  <si>
    <t>Evidence Type (T4)</t>
  </si>
  <si>
    <t>22 — Anonymous Sources</t>
  </si>
  <si>
    <t>23 — Secondhand/Hearsay</t>
  </si>
  <si>
    <t>24 — Unverified Documents</t>
  </si>
  <si>
    <t>25 — Confession/Deathbed Statement</t>
  </si>
  <si>
    <t>26 — Pattern Recognition Without Controls</t>
  </si>
  <si>
    <t>27 — Archived/Deleted Content</t>
  </si>
  <si>
    <t>28 — Documentary Film Claims</t>
  </si>
  <si>
    <t>Evidence Type (T5)</t>
  </si>
  <si>
    <t>29 — Single-Source Claims</t>
  </si>
  <si>
    <t>30 — Anonymous Internet Posts</t>
  </si>
  <si>
    <t>31 — Channeled/Psychic/Revelatory</t>
  </si>
  <si>
    <t>32 — Unverifiable by Design</t>
  </si>
  <si>
    <t>33 — Circular/Self-Referencing</t>
  </si>
  <si>
    <t>34 — AI-Generated/Manipulated</t>
  </si>
  <si>
    <t>Evidence Type (Negative)</t>
  </si>
  <si>
    <t>35 — Conspicuous Absence</t>
  </si>
  <si>
    <t>36 — Suppression Evidence</t>
  </si>
  <si>
    <t>37 — Non-Denial Denials</t>
  </si>
  <si>
    <t>38 — Classification/Redaction Patterns</t>
  </si>
  <si>
    <t>Module Category</t>
  </si>
  <si>
    <t>OPENINTEL EVIDENCE ENTRY TEMPLATE</t>
  </si>
  <si>
    <t>Tag each claim · Score auto-calculates</t>
  </si>
  <si>
    <t>CLAIM_ID</t>
  </si>
  <si>
    <t>CLAIM_TEXT</t>
  </si>
  <si>
    <t>CASE_REF</t>
  </si>
  <si>
    <t>SOURCE</t>
  </si>
  <si>
    <t>DB_TAG</t>
  </si>
  <si>
    <t>URL</t>
  </si>
  <si>
    <t>DATE_ACCESSED</t>
  </si>
  <si>
    <t>VERIFICATION</t>
  </si>
  <si>
    <t>CORROBORATION</t>
  </si>
  <si>
    <t>QUALITY</t>
  </si>
  <si>
    <t>COMPOSITE</t>
  </si>
  <si>
    <t>CLAIM-001</t>
  </si>
  <si>
    <t>CLAIM-002</t>
  </si>
  <si>
    <t>CLAIM-003</t>
  </si>
  <si>
    <t>CLAIM-004</t>
  </si>
  <si>
    <t>CLAIM-005</t>
  </si>
  <si>
    <t>CLAIM-006</t>
  </si>
  <si>
    <t>CLAIM-007</t>
  </si>
  <si>
    <t>CLAIM-008</t>
  </si>
  <si>
    <t>CLAIM-009</t>
  </si>
  <si>
    <t>CLAIM-010</t>
  </si>
  <si>
    <t>CLAIM-011</t>
  </si>
  <si>
    <t>CLAIM-012</t>
  </si>
  <si>
    <t>CLAIM-013</t>
  </si>
  <si>
    <t>CLAIM-014</t>
  </si>
  <si>
    <t>CLAIM-015</t>
  </si>
  <si>
    <t>CLAIM-016</t>
  </si>
  <si>
    <t>CLAIM-017</t>
  </si>
  <si>
    <t>CLAIM-018</t>
  </si>
  <si>
    <t>CLAIM-019</t>
  </si>
  <si>
    <t>CLAIM-020</t>
  </si>
  <si>
    <t>── SUMMARY METRICS ──</t>
  </si>
  <si>
    <t>Total Entries</t>
  </si>
  <si>
    <t>Avg Completeness</t>
  </si>
  <si>
    <t>Avg Quality</t>
  </si>
  <si>
    <t>Avg Consistency</t>
  </si>
  <si>
    <t>Composite Score</t>
  </si>
  <si>
    <t>Tier Distribution</t>
  </si>
  <si>
    <t>Verified</t>
  </si>
  <si>
    <t>Disputed</t>
  </si>
  <si>
    <t>OPENINTEL ↔ SCHEMA.ORG CONVERGENCE MAP</t>
  </si>
  <si>
    <t>ClaimReview · ItemList · Person · Boolean</t>
  </si>
  <si>
    <t>OPENINTEL FIELD</t>
  </si>
  <si>
    <t>SCHEMA.ORG PROPERTY</t>
  </si>
  <si>
    <t>SCHEMA TYPE</t>
  </si>
  <si>
    <t>CONVERGENCE NOTES</t>
  </si>
  <si>
    <t>REQUIRED?</t>
  </si>
  <si>
    <t>── EXISTING FIELDS (mapped) ──</t>
  </si>
  <si>
    <t>identifier (Thing)</t>
  </si>
  <si>
    <t>Text | URL</t>
  </si>
  <si>
    <t>✅ MAPPED</t>
  </si>
  <si>
    <t>Direct match. Our CLAIM-### format is a valid identifier.</t>
  </si>
  <si>
    <t>YES</t>
  </si>
  <si>
    <t>claimReviewed (ClaimReview)</t>
  </si>
  <si>
    <t>Text</t>
  </si>
  <si>
    <t>Exact match. The specific claim being fact-checked.</t>
  </si>
  <si>
    <t>isPartOf (CreativeWork)</t>
  </si>
  <si>
    <t>CreativeWork</t>
  </si>
  <si>
    <t>Links to parent case/investigation. Use case ID from CASE_TYPES sheet.</t>
  </si>
  <si>
    <t>NO</t>
  </si>
  <si>
    <t>author (CreativeWork)</t>
  </si>
  <si>
    <t>Person | Org</t>
  </si>
  <si>
    <t>Maps to author. For promotion, should split into AUTHOR_NAME + AUTHOR_ORG (Person schema).</t>
  </si>
  <si>
    <t>additionalType (Thing)</t>
  </si>
  <si>
    <t>⚡ EXTENDED</t>
  </si>
  <si>
    <t>Our 38-type taxonomy extends Schema.org. No equivalent in ClaimReview — we're better here.</t>
  </si>
  <si>
    <t>reviewRating.ratingValue</t>
  </si>
  <si>
    <t>Number</t>
  </si>
  <si>
    <t>Map T1→5, T2→4, T3→3, T4→2, T5→1, N→0 for Schema.org numeric rating. Our tiered system is richer.</t>
  </si>
  <si>
    <t>url (Thing)</t>
  </si>
  <si>
    <t>Direct match. Link to source material.</t>
  </si>
  <si>
    <t>sdDatePublished (CreativeWork)</t>
  </si>
  <si>
    <t>⚠️ PARTIAL</t>
  </si>
  <si>
    <t>Schema.org has datePublished but no dateAccessed. Keep both — add DATE_PUBLISHED for convergence.</t>
  </si>
  <si>
    <t>creativeWorkStatus (CreativeWork)</t>
  </si>
  <si>
    <t>Our verified/pending/disputed/unverifiable is more specific than Schema.org's generic status field.</t>
  </si>
  <si>
    <t>aggregateRating.ratingCount</t>
  </si>
  <si>
    <t>Integer</t>
  </si>
  <si>
    <t>Number of independent sources confirming. Schema.org tracks rating count; we track source corroboration.</t>
  </si>
  <si>
    <t>reviewBody (Review)</t>
  </si>
  <si>
    <t>Direct match. Free-text review body / annotation.</t>
  </si>
  <si>
    <t>── NEW FIELDS (from Schema.org convergence) ──</t>
  </si>
  <si>
    <t>AUTHOR_NAME</t>
  </si>
  <si>
    <t>author.name (Person)</t>
  </si>
  <si>
    <t>➕ NEW</t>
  </si>
  <si>
    <t>Named person who authored the evidence. Required for promotion — anonymous claims flagged.</t>
  </si>
  <si>
    <t>PROMO</t>
  </si>
  <si>
    <t>AUTHOR_ORG</t>
  </si>
  <si>
    <t>author.affiliation (Person)</t>
  </si>
  <si>
    <t>Organization of the author/source. From Person schema affiliation property.</t>
  </si>
  <si>
    <t>ITEM_REVIEWED</t>
  </si>
  <si>
    <t>itemReviewed (Review)</t>
  </si>
  <si>
    <t>Thing</t>
  </si>
  <si>
    <t>The specific thing being reviewed (event, document, statement). Google uses this for rich results.</t>
  </si>
  <si>
    <t>REVIEW_RATING</t>
  </si>
  <si>
    <t>reviewRating.alternateName</t>
  </si>
  <si>
    <t>Human-readable verdict: True / Mostly True / Mixed / Mostly False / False / Unproven. Google ClaimReview label.</t>
  </si>
  <si>
    <t>DATE_PUBLISHED</t>
  </si>
  <si>
    <t>datePublished (CreativeWork)</t>
  </si>
  <si>
    <t>When the original claim/source was published. Distinct from DATE_ACCESSED (when you retrieved it).</t>
  </si>
  <si>
    <t>DATE_REVIEWED</t>
  </si>
  <si>
    <t>dateModified (CreativeWork)</t>
  </si>
  <si>
    <t>When this evidence review was last updated. Signals freshness to search engines.</t>
  </si>
  <si>
    <t>POSITIVE_NOTES</t>
  </si>
  <si>
    <t>positiveNotes (Review)</t>
  </si>
  <si>
    <t>ItemList | Text</t>
  </si>
  <si>
    <t>Strengths of this evidence (structured pro list). Uses ItemList schema for ordered items.</t>
  </si>
  <si>
    <t>NEGATIVE_NOTES</t>
  </si>
  <si>
    <t>negativeNotes (Review)</t>
  </si>
  <si>
    <t>Weaknesses of this evidence (structured con list). Uses ItemList schema for ordered items.</t>
  </si>
  <si>
    <t>── PROMOTION GATE (required for main web page) ──</t>
  </si>
  <si>
    <t>Rule</t>
  </si>
  <si>
    <t>Check</t>
  </si>
  <si>
    <t>Rationale</t>
  </si>
  <si>
    <t>1. Schema.org Required Fields</t>
  </si>
  <si>
    <t>CLAIM_TEXT + DB_TAG + TIER + URL + VERIFICATION all filled</t>
  </si>
  <si>
    <t>PASS/FAIL</t>
  </si>
  <si>
    <t>Hard gate — must pass. These are the minimum for a valid ClaimReview structured data entry.</t>
  </si>
  <si>
    <t>2. Author Attribution</t>
  </si>
  <si>
    <t>AUTHOR_NAME or AUTHOR_ORG is non-empty</t>
  </si>
  <si>
    <t>Google requires author for ClaimReview rich results. Anonymous claims cannot be promoted.</t>
  </si>
  <si>
    <t>3. Review Rating Present</t>
  </si>
  <si>
    <t>REVIEW_RATING is one of: True/Mostly True/Mixed/Mostly False/False/Unproven</t>
  </si>
  <si>
    <t>Google ClaimReview requires a textual rating. This is the human-readable verdict.</t>
  </si>
  <si>
    <t>4. Evidence Quality Threshold</t>
  </si>
  <si>
    <t>Quality score (TIER weight) ≥ 60%</t>
  </si>
  <si>
    <t>T1–T3 evidence passes automatically. T4–T5 need corroboration to qualify.</t>
  </si>
  <si>
    <t>5. Consistency Check</t>
  </si>
  <si>
    <t>Consistency score ≥ 75%</t>
  </si>
  <si>
    <t>DB_TAG must exist in taxonomy, tier within range, verification status valid.</t>
  </si>
  <si>
    <t>6. Corroboration for Weak Sources</t>
  </si>
  <si>
    <t>If TIER = T4 or T5, CORROBORATION must be ≥ 2</t>
  </si>
  <si>
    <t>Weak sources cannot be promoted without independent corroboration. Prevents single-source claims on main page.</t>
  </si>
  <si>
    <t>7. Composite Score</t>
  </si>
  <si>
    <t>Overall composite ≥ 65%</t>
  </si>
  <si>
    <t>Final quality gate. Weighted composite of completeness, quality, and consistency must hit threshold.</t>
  </si>
  <si>
    <t>Schema.org Convergence Fields</t>
  </si>
  <si>
    <t>COMPLETE</t>
  </si>
  <si>
    <t>CONSIST</t>
  </si>
  <si>
    <t>PROMO GATE</t>
  </si>
  <si>
    <t>Promo Ready</t>
  </si>
  <si>
    <t>Promo Rate</t>
  </si>
  <si>
    <t>JSON-LD STRUCTURED DATA TEMPLATES</t>
  </si>
  <si>
    <t>ClaimReview + Dataset · Inject into &lt;head&gt; of SPA case pages</t>
  </si>
  <si>
    <t>TEMPLATE</t>
  </si>
  <si>
    <t>JSON-LD CODE</t>
  </si>
  <si>
    <t>NOTES / FIELD MAPPING</t>
  </si>
  <si>
    <t>── 1. ClaimReview (per evidence entry) ──</t>
  </si>
  <si>
    <t>ClaimReview
(one per evidence entry)</t>
  </si>
  <si>
    <t>&lt;script type="application/ld+json"&gt;
{
  "@context": "https://schema.org",
  "@type": "ClaimReview",
  "url": "https://openintel.org/cases/{{slug}}",
  "claimReviewed": "{{claim_text}}",
  "author": {
    "@type": "Organization",
    "name": "OpenIntel",
    "url": "https://openintel.org"
  },
  "reviewRating": {
    "@type": "Rating",
    "ratingValue": {{tier_numeric}},
    "bestRating": 5,
    "worstRating": 0,
    "alternateName": "{{review_rating}}"
  },
  "itemReviewed": {
    "@type": "CreativeWork",
    "name": "{{item_reviewed}}",
    "author": {
      "@type": "Person",
      "name": "{{author_name}}",
      "affiliation": {
        "@type": "Organization",
        "name": "{{author_org}}"
      }
    },
    "datePublished": "{{date_published}}",
    "appearance": [
      {
        "@type": "WebPage",
        "url": "{{evidence_url}}"
      }
    ]
  },
  "datePublished": "{{date_reviewed}}",
  "reviewBody": "Evidence type: {{db_tag}} (Tier {{tier}}). {{notes}}",
  "positiveNotes": {
    "@type": "ItemList",
    "itemListElement": [
      {
        "@type": "ListItem",
        "position": 1,
        "name": "{{positive_notes}}"
      }
    ]
  },
  "negativeNotes": {
    "@type": "ItemList",
    "itemListElement": [
      {
        "@type": "ListItem",
        "position": 1,
        "name": "{{negative_notes}}"
      }
    ]
  },
  "additionalType": "https://openintel.org/taxonomy/{{db_tag}}"
}
&lt;/script&gt;</t>
  </si>
  <si>
    <t>FIELD MAP:
{{slug}} ← case slug from API
{{claim_text}} ← CLAIM_TEXT (col B)
{{tier_numeric}} ← TIER mapped: T1=5, T2=4, T3=3, T4=2, T5=1, N=0
{{review_rating}} ← REVIEW_RATING (col O)
{{item_reviewed}} ← ITEM_REVIEWED (col N)
{{author_name}} ← AUTHOR_NAME (col L)
{{author_org}} ← AUTHOR_ORG (col M)
{{date_published}} ← DATE_PUBLISHED (col P) ISO 8601
{{evidence_url}} ← URL (col G)
{{date_reviewed}} ← DATE_REVIEWED (col Q) ISO 8601
{{db_tag}} ← DB_TAG (col E)
{{tier}} ← TIER (col F)
{{notes}} ← NOTES (col K)
{{positive_notes}} ← POSITIVE_NOTES (col R)
{{negative_notes}} ← NEGATIVE_NOTES (col S)
NOTE: Only inject for rows where PROMO GATE = ✅ READY
Omit positiveNotes/negativeNotes blocks if empty.
For multiple evidence items per case, emit multiple ClaimReview blocks.</t>
  </si>
  <si>
    <t>── 2. Dataset (per API endpoint) ──</t>
  </si>
  <si>
    <t>Dataset
(site-wide, on /api or /research index)</t>
  </si>
  <si>
    <t>&lt;script type="application/ld+json"&gt;
{
  "@context": "https://schema.org",
  "@type": "Dataset",
  "name": "OpenIntel Evidence Taxonomy Dataset",
  "description": "Structured evidence grading database using a 38-type, 6-tier taxonomy for evaluating claims. Each entry is typed, tiered, and scored using the OpenIntel Evidence Classification System.",
  "url": "https://openintel.org/api/evidence",
  "license": "https://creativecommons.org/licenses/by-sa/4.0/",
  "creator": {
    "@type": "Organization",
    "name": "OpenIntel",
    "url": "https://openintel.org"
  },
  "datePublished": "{{dataset_publish_date}}",
  "dateModified": "{{dataset_modified_date}}",
  "keywords": [
    "evidence taxonomy",
    "fact-checking",
    "claim review",
    "structured evidence",
    "OSINT",
    "evidence grading"
  ],
  "measurementTechnique": "6-tier evidence classification (T1-T5 + Negative)",
  "variableMeasured": [
    {
      "@type": "PropertyValue",
      "name": "Evidence Tier",
      "description": "Source strength rating from T1 (Primary/Strongest) to T5 (Weakest), plus N (Negative Evidence)",
      "minValue": 0,
      "maxValue": 5
    },
    {
      "@type": "PropertyValue",
      "name": "Evidence Type",
      "description": "One of 38 classified evidence types (e.g., declass_gov, court_record, peer_reviewed)"
    },
    {
      "@type": "PropertyValue",
      "name": "Verification Status",
      "description": "One of: verified, pending, disputed, unverifiable"
    },
    {
      "@type": "PropertyValue",
      "name": "Corroboration Count",
      "description": "Number of independent sources confirming this evidence"
    }
  ],
  "distribution": [
    {
      "@type": "DataDownload",
      "encodingFormat": "application/json",
      "contentUrl": "https://openintel.org/api/evidence.json"
    },
    {
      "@type": "DataDownload",
      "encodingFormat": "text/yaml",
      "contentUrl": "https://openintel.org/api/evidence.yaml"
    }
  ]
}
&lt;/script&gt;</t>
  </si>
  <si>
    <t>DATASET SCHEMA NOTES:
This goes on the /api index page or /research page.
Signals to Google that this is structured research data,
not editorial content.
variableMeasured maps your 4 scoring dimensions:
• Evidence Tier (T1-T5+N) → ratingValue 0-5
• Evidence Type (38 db_tags) → additionalType
• Verification Status (4 states) → creativeWorkStatus
• Corroboration Count → aggregateRating.ratingCount
distribution offers both JSON and YAML downloads.
Update encodingFormat if you add CSV export.
{{dataset_publish_date}} ← first publish date
{{dataset_modified_date}} ← last API data change
License: CC BY-SA 4.0 recommended for open research.
Change to appropriate license for your use case.</t>
  </si>
  <si>
    <t>── 3. SPA Injection Code ──</t>
  </si>
  <si>
    <t>injectClaimReviewLD()
(call in case detail component)</t>
  </si>
  <si>
    <t>// SPA helper: serialize API response → JSON-LD and inject into &lt;head&gt;
// Call this in your case detail page component (onMount / useEffect)
const TIER_MAP = { T1: 5, T2: 4, T3: 3, T4: 2, T5: 1, N: 0 };
function injectClaimReviewLD(caseData) {
  // caseData = API response for a single case
  // { slug, title, status, evidence: [{ claim_text, db_tag, tier, url, ... }] }
  const claimReviews = caseData.evidence
    .filter(e =&gt; e.promo_gate === 'READY')  // Only promoted entries
    .map(e =&gt; ({
      '@context': 'https://schema.org',
      '@type': 'ClaimReview',
      url: `https://openintel.org/cases/${caseData.slug}`,
      claimReviewed: e.claim_text,
      author: {
        '@type': 'Organization',
        name: 'OpenIntel',
        url: 'https://openintel.org'
      },
      reviewRating: {
        '@type': 'Rating',
        ratingValue: TIER_MAP[e.tier] || 0,
        bestRating: 5,
        worstRating: 0,
        alternateName: e.review_rating
      },
      itemReviewed: {
        '@type': 'CreativeWork',
        name: e.item_reviewed,
        author: {
          '@type': 'Person',
          name: e.author_name,
          ...(e.author_org &amp;&amp; {
            affiliation: {
              '@type': 'Organization',
              name: e.author_org
            }
          })
        },
        datePublished: e.date_published,
        appearance: [{ '@type': 'WebPage', url: e.url }]
      },
      datePublished: e.date_reviewed || new Date().toISOString().split('T')[0],
      reviewBody: `Evidence type: ${e.db_tag} (Tier ${e.tier}). ${e.notes || ''}`.trim(),
      additionalType: `https://openintel.org/taxonomy/${e.db_tag}`,
      ...(e.positive_notes &amp;&amp; {
        positiveNotes: {
          '@type': 'ItemList',
          itemListElement: [{
            '@type': 'ListItem',
            position: 1,
            name: e.positive_notes
          }]
        }
      }),
      ...(e.negative_notes &amp;&amp; {
        negativeNotes: {
          '@type': 'ItemList',
          itemListElement: [{
            '@type': 'ListItem',
            position: 1,
            name: e.negative_notes
          }]
        }
      })
    }));
  // Remove existing LD+JSON scripts (avoid duplicates on SPA nav)
  document.querySelectorAll('script[data-openintel-ld]')
    .forEach(el =&gt; el.remove());
  // Inject each ClaimReview as a separate script tag
  claimReviews.forEach((review, i) =&gt; {
    const script = document.createElement('script');
    script.type = 'application/ld+json';
    script.setAttribute('data-openintel-ld', `claim-${i}`);
    script.textContent = JSON.stringify(review, null, 2);
    document.head.appendChild(script);
  });
  return claimReviews.length;
}</t>
  </si>
  <si>
    <t>IMPLEMENTATION NOTES:
1. This function takes your existing API response object.
   The data is already there — status, slug, title,
   evidence array. No new API work needed.
2. Only entries where promo_gate === 'READY' get
   serialized into JSON-LD. The rest are filtered out.
   This is your quality gate in action.
3. Call in your case detail component:
   • React: useEffect(() =&gt; { injectClaimReviewLD(data); }, [data])
   • Vue: onMounted(() =&gt; injectClaimReviewLD(data))
   • Svelte: onMount(() =&gt; injectClaimReviewLD(data))
4. The data-openintel-ld attribute lets us clean up
   on SPA navigation (no stale LD+JSON from previous page).
5. additionalType links to your taxonomy namespace:
   https://openintel.org/taxonomy/{{db_tag}}
   This is where you're better than ClaimReview —
   your 38-type system gives granularity they can't match.
6. appearance[] in itemReviewed links to the actual
   evidence source URL. Google uses this for the
   'Claim appears in:' display in search results.
7. For SSR (Next.js/Nuxt): render the script tags
   server-side instead of DOM injection. Same JSON,
   just in the template &lt;head&gt; block.
API FIELDS NEEDED (add to response if missing):
• promo_gate: string ('READY' | 'BLOCKED')
• review_rating: string
• author_name: string
• author_org: string
• item_reviewed: string
• date_published: string (ISO 8601)
• date_reviewed: string (ISO 8601)
• positive_notes: string | null
• negative_notes: string | null</t>
  </si>
  <si>
    <t>── 4. API Response → JSON-LD Field Map ──</t>
  </si>
  <si>
    <t>API Field</t>
  </si>
  <si>
    <t>JSON-LD Path</t>
  </si>
  <si>
    <t>Required</t>
  </si>
  <si>
    <t>Transform</t>
  </si>
  <si>
    <t>slug</t>
  </si>
  <si>
    <t>url (appended to base URL)</t>
  </si>
  <si>
    <t>`https://openintel.org/cases/${slug}`</t>
  </si>
  <si>
    <t>evidence[].claim_text</t>
  </si>
  <si>
    <t>claimReviewed</t>
  </si>
  <si>
    <t>Direct passthrough. Already in API response.</t>
  </si>
  <si>
    <t>evidence[].tier</t>
  </si>
  <si>
    <t>TIER_MAP lookup: { T1:5, T2:4, T3:3, T4:2, T5:1, N:0 }</t>
  </si>
  <si>
    <t>evidence[].review_rating</t>
  </si>
  <si>
    <t>Direct passthrough. True/Mostly True/Mixed/Mostly False/False/Unproven</t>
  </si>
  <si>
    <t>evidence[].db_tag</t>
  </si>
  <si>
    <t>additionalType + reviewBody</t>
  </si>
  <si>
    <t>Prefix with namespace: `https://openintel.org/taxonomy/${db_tag}`</t>
  </si>
  <si>
    <t>evidence[].url</t>
  </si>
  <si>
    <t>itemReviewed.appearance[].url</t>
  </si>
  <si>
    <t>Direct passthrough. Links to the actual source material.</t>
  </si>
  <si>
    <t>evidence[].author_name</t>
  </si>
  <si>
    <t>itemReviewed.author.name</t>
  </si>
  <si>
    <t>NEW FIELD — add to API response. Required for promotion.</t>
  </si>
  <si>
    <t>evidence[].author_org</t>
  </si>
  <si>
    <t>itemReviewed.author.affiliation.name</t>
  </si>
  <si>
    <t>NEW FIELD — add to API response. Optional if author_name present.</t>
  </si>
  <si>
    <t>evidence[].item_reviewed</t>
  </si>
  <si>
    <t>itemReviewed.name</t>
  </si>
  <si>
    <t>NEW FIELD — add to API response. The thing being fact-checked.</t>
  </si>
  <si>
    <t>evidence[].promo_gate</t>
  </si>
  <si>
    <t>(filter gate — not in JSON-LD)</t>
  </si>
  <si>
    <t>GATE</t>
  </si>
  <si>
    <t>NEW FIELD — computed server-side from scoring formulas. 'READY' entries get LD, others don't.</t>
  </si>
  <si>
    <t>OPENINTEL FULL PIPELINE SPEC</t>
  </si>
  <si>
    <t>Postgres → Cloudflare Workers → Web Form → Auto-Promote → JSON-LD</t>
  </si>
  <si>
    <t>SECTION</t>
  </si>
  <si>
    <t>SPEC</t>
  </si>
  <si>
    <t>── 1. POSTGRES SCHEMA ──</t>
  </si>
  <si>
    <t>evidence_taxonomy
(reference table)</t>
  </si>
  <si>
    <t>CREATE TABLE evidence_taxonomy (
  id            SERIAL PRIMARY KEY,
  type_num      INT NOT NULL UNIQUE,
  tier          VARCHAR(2) NOT NULL,       -- T1, T2, T3, T4, T5, N
  evidence_type VARCHAR(100) NOT NULL,
  description   TEXT,
  examples      TEXT,
  db_tag        VARCHAR(30) NOT NULL UNIQUE,
  tier_range    VARCHAR(10),
  tier_weight   DECIMAL(3,2) NOT NULL,     -- T1=1.00, T2=0.80, T3=0.60, T4=0.35, T5=0.15, N=0.50
  created_at    TIMESTAMPTZ DEFAULT NOW()
);
-- Seed from EVIDENCE_TAXONOMY sheet (38 rows)
INSERT INTO evidence_taxonomy (type_num, tier, evidence_type, db_tag, tier_range, tier_weight) VALUES
(1,  'T1', 'Declassified Government Documents',     'declass_gov',         'T1-T2', 1.00),
(2,  'T1', 'Congressional/Parliamentary Records',    'congress_record',     'T1-T2', 1.00),
(3,  'T1', 'Court Records',                          'court_record',        'T1',    1.00),
-- ... (38 rows from your EVIDENCE_TAXONOMY sheet)
(38, 'N',  'Classification/Redaction Patterns',      'redaction_pattern',   'ALL',   0.50);</t>
  </si>
  <si>
    <t>Reference table. Seed once from the EVIDENCE_TAXONOMY sheet.
tier_weight drives the quality score calculation server-side.
db_tag is the foreign key that evidence_entries references.</t>
  </si>
  <si>
    <t>evidence_entries
(main data table)</t>
  </si>
  <si>
    <t>CREATE TABLE evidence_entries (
  id                 UUID PRIMARY KEY DEFAULT gen_random_uuid(),
  claim_id           VARCHAR(20) NOT NULL,         -- CLAIM-001 format
  claim_text         TEXT NOT NULL,                 -- schema: claimReviewed
  case_ref           VARCHAR(50),                   -- FK to cases table / CASE_TYPES
  source             TEXT NOT NULL,                 -- schema: author
  db_tag             VARCHAR(30) NOT NULL           -- FK to evidence_taxonomy
                     REFERENCES evidence_taxonomy(db_tag),
  tier               VARCHAR(2) NOT NULL            -- T1, T2, T3, T4, T5, N
                     CHECK (tier IN ('T1','T2','T3','T4','T5','N')),
  url                TEXT NOT NULL,                 -- schema: url
  date_accessed      DATE,                          -- when source was accessed
  verification       VARCHAR(15) NOT NULL           -- schema: creativeWorkStatus
                     CHECK (verification IN ('verified','pending','disputed','unverifiable')),
  corroboration      INT DEFAULT 0,                 -- schema: aggregateRating.ratingCount
  notes              TEXT,                          -- schema: reviewBody
  -- Schema.org convergence fields
  author_name        TEXT,                          -- schema: author.name (Person)
  author_org         TEXT,                          -- schema: author.affiliation
  item_reviewed      TEXT,                          -- schema: itemReviewed
  review_rating      VARCHAR(20)                    -- schema: reviewRating.alternateName
                     CHECK (review_rating IN ('True','Mostly True','Mixed','Mostly False','False','Unproven')),
  date_published     DATE,                          -- schema: datePublished
  date_reviewed      DATE,                          -- schema: dateModified
  positive_notes     TEXT,                          -- schema: positiveNotes
  negative_notes     TEXT,                          -- schema: negativeNotes
  -- Computed scores (set by trigger / worker)
  score_completeness INT,                           -- 0-100
  score_quality      INT,                           -- 0-100
  score_consistency  INT,                           -- 0-100
  score_composite    INT,                           -- 0-100
  promo_gate         VARCHAR(10) DEFAULT 'BLOCKED'  -- 'READY' or 'BLOCKED'
                     CHECK (promo_gate IN ('READY','BLOCKED')),
  -- Staging
  status             VARCHAR(15) DEFAULT 'draft'    -- draft -&gt; staged -&gt; promoted -&gt; archived
                     CHECK (status IN ('draft','staged','promoted','archived')),
  submitted_by       TEXT,                          -- contributor identifier
  submitted_at       TIMESTAMPTZ DEFAULT NOW(),
  promoted_at        TIMESTAMPTZ,                   -- when entry went live
  created_at         TIMESTAMPTZ DEFAULT NOW(),
  updated_at         TIMESTAMPTZ DEFAULT NOW()
);
CREATE INDEX idx_entries_db_tag ON evidence_entries(db_tag);
CREATE INDEX idx_entries_tier ON evidence_entries(tier);
CREATE INDEX idx_entries_promo ON evidence_entries(promo_gate);
CREATE INDEX idx_entries_status ON evidence_entries(status);
CREATE INDEX idx_entries_case ON evidence_entries(case_ref);</t>
  </si>
  <si>
    <t>Main table. Maps 1:1 to EVIDENCE_ENTRY sheet columns.
All 19 user fields + 5 computed scores + staging fields.
db_tag FK enforces taxonomy validity (same as the Excel COUNTIF check).
CHECK constraints replicate the dropdown validations from the sheet.
promo_gate is computed server-side (see scoring trigger below).
status flow:
  draft → staged → promoted → archived
  draft: just saved, not scored yet
  staged: scored, waiting for review
  promoted: passed gate, live on site, gets JSON-LD
  archived: taken down / superseded
UUID primary key for API-friendly IDs.
Timestamps for audit trail.</t>
  </si>
  <si>
    <t>scoring trigger
(auto-compute on insert/update)</t>
  </si>
  <si>
    <t>CREATE OR REPLACE FUNCTION compute_evidence_scores()
RETURNS TRIGGER AS $$
DECLARE
  v_total_fields INT := 18;
  v_filled INT := 0;
  v_quality INT := 0;
  v_consistency INT := 0;
  v_tag_valid BOOLEAN;
  v_tier_weight DECIMAL;
BEGIN
  -- 1. COMPLETENESS: count non-null, non-empty fields / 18
  v_filled := (
    (CASE WHEN COALESCE(NEW.claim_text,'') != '' THEN 1 ELSE 0 END) +
    (CASE WHEN COALESCE(NEW.case_ref,'') != '' THEN 1 ELSE 0 END) +
    (CASE WHEN COALESCE(NEW.source,'') != '' THEN 1 ELSE 0 END) +
    (CASE WHEN COALESCE(NEW.db_tag,'') != '' THEN 1 ELSE 0 END) +
    (CASE WHEN COALESCE(NEW.tier,'') != '' THEN 1 ELSE 0 END) +
    (CASE WHEN COALESCE(NEW.url,'') != '' THEN 1 ELSE 0 END) +
    (CASE WHEN NEW.date_accessed IS NOT NULL THEN 1 ELSE 0 END) +
    (CASE WHEN COALESCE(NEW.verification,'') != '' THEN 1 ELSE 0 END) +
    (CASE WHEN COALESCE(NEW.corroboration, 0) &gt; 0 THEN 1 ELSE 0 END) +
    (CASE WHEN COALESCE(NEW.notes,'') != '' THEN 1 ELSE 0 END) +
    (CASE WHEN COALESCE(NEW.author_name,'') != '' THEN 1 ELSE 0 END) +
    (CASE WHEN COALESCE(NEW.author_org,'') != '' THEN 1 ELSE 0 END) +
    (CASE WHEN COALESCE(NEW.item_reviewed,'') != '' THEN 1 ELSE 0 END) +
    (CASE WHEN COALESCE(NEW.review_rating,'') != '' THEN 1 ELSE 0 END) +
    (CASE WHEN NEW.date_published IS NOT NULL THEN 1 ELSE 0 END) +
    (CASE WHEN NEW.date_reviewed IS NOT NULL THEN 1 ELSE 0 END) +
    (CASE WHEN COALESCE(NEW.positive_notes,'') != '' THEN 1 ELSE 0 END) +
    (CASE WHEN COALESCE(NEW.negative_notes,'') != '' THEN 1 ELSE 0 END)
  );
  NEW.score_completeness := ROUND((v_filled::DECIMAL / v_total_fields) * 100);
  -- 2. QUALITY: tier weight lookup
  SELECT tier_weight INTO v_tier_weight
  FROM evidence_taxonomy WHERE db_tag = NEW.db_tag;
  NEW.score_quality := COALESCE(ROUND(v_tier_weight * 100), 0);
  -- 3. CONSISTENCY: tag valid + tier filled + status valid + corroboration check
  SELECT EXISTS(SELECT 1 FROM evidence_taxonomy WHERE db_tag = NEW.db_tag) INTO v_tag_valid;
  v_consistency := (
    (CASE WHEN v_tag_valid THEN 1 ELSE 0 END) +
    (CASE WHEN NEW.tier IS NOT NULL THEN 1 ELSE 0 END) +
    (CASE WHEN NEW.verification IN ('verified','pending','disputed','unverifiable') THEN 1 ELSE 0 END) +
    (CASE WHEN NEW.tier IN ('T4','T5') AND COALESCE(NEW.corroboration,0) &lt; 1 THEN 0 ELSE 1 END)
  );
  NEW.score_consistency := ROUND((v_consistency::DECIMAL / 4) * 100);
  -- 4. COMPOSITE: completeness*0.3 + quality*0.4 + consistency*0.3
  NEW.score_composite := ROUND(
    NEW.score_completeness * 0.3 +
    NEW.score_quality * 0.4 +
    NEW.score_consistency * 0.3
  );
  -- 5. PROMOTION GATE
  IF (
    COALESCE(NEW.claim_text,'') != '' AND
    COALESCE(NEW.db_tag,'') != '' AND
    COALESCE(NEW.tier,'') != '' AND
    COALESCE(NEW.url,'') != '' AND
    COALESCE(NEW.verification,'') != '' AND
    (COALESCE(NEW.author_name,'') != '' OR COALESCE(NEW.author_org,'') != '') AND
    COALESCE(NEW.review_rating,'') != '' AND
    (NEW.tier NOT IN ('T4','T5') OR COALESCE(NEW.corroboration,0) &gt;= 2) AND
    NEW.score_quality &gt;= 60 AND
    NEW.score_composite &gt;= 65
  ) THEN
    NEW.promo_gate := 'READY';
    -- Auto-stage if draft
    IF NEW.status = 'draft' THEN
      NEW.status := 'staged';
    END IF;
  ELSE
    NEW.promo_gate := 'BLOCKED';
  END IF;
  NEW.updated_at := NOW();
  RETURN NEW;
END;
$$ LANGUAGE plpgsql;
CREATE TRIGGER trg_evidence_scores
  BEFORE INSERT OR UPDATE ON evidence_entries
  FOR EACH ROW EXECUTE FUNCTION compute_evidence_scores();</t>
  </si>
  <si>
    <t>This trigger replicates EXACTLY the same scoring logic from your Excel formulas:
Excel col U (COMPLETENESS) = v_filled / 18 * 100
Excel col V (QUALITY) = tier weight lookup
Excel col W (CONSISTENCY) = 4-check validation
Excel col X (COMPOSITE) = weighted average
Excel col Y (PROMO GATE) = 7-rule check
Fires on every INSERT and UPDATE.
Key behavior:
• If an entry passes the promo gate and is still 'draft', it auto-advances to 'staged'
• Promotion from 'staged' → 'promoted' is a separate manual/API action (see Worker endpoint)
• Scores are always recomputed, so editing a promoted entry can un-promote it
The gate rules are identical to the SCHEMA_MAP promotion gate:
1. Core fields filled
2. Author attribution
3. Review rating present
4. Corroboration for T4/T5 ≥ 2
5. Quality ≥ 60%
6. Composite ≥ 65%</t>
  </si>
  <si>
    <t>── 2. CLOUDFLARE WORKERS API ──</t>
  </si>
  <si>
    <t>POST /api/evidence
(submit new entry)</t>
  </si>
  <si>
    <t>// Cloudflare Worker: POST /api/evidence
// Accepts form submission, validates, inserts into Postgres via Hyperdrive
export async function onRequestPost({ request, env }) {
  const body = await request.json();
  // 1. Server-side validation (mirrors Excel dropdowns)
  const VALID_TIERS = ['T1','T2','T3','T4','T5','N'];
  const VALID_VERIF = ['verified','pending','disputed','unverifiable'];
  const VALID_RATING = ['True','Mostly True','Mixed','Mostly False','False','Unproven'];
  const errors = [];
  if (!body.claim_text?.trim()) errors.push('claim_text is required');
  if (!body.db_tag?.trim()) errors.push('db_tag is required');
  if (!VALID_TIERS.includes(body.tier)) errors.push('tier must be T1-T5 or N');
  if (!body.url?.trim()) errors.push('url is required');
  if (!VALID_VERIF.includes(body.verification)) errors.push('invalid verification status');
  if (body.review_rating &amp;&amp; !VALID_RATING.includes(body.review_rating))
    errors.push('invalid review_rating');
  if (errors.length &gt; 0) {
    return Response.json({ ok: false, errors }, { status: 400 });
  }
  // 2. Insert via Hyperdrive (Postgres trigger auto-computes scores)
  const db = env.HYPERDRIVE.connect();
  const result = await db.query(
    `INSERT INTO evidence_entries (
      claim_id, claim_text, case_ref, source, db_tag, tier, url,
      date_accessed, verification, corroboration, notes,
      author_name, author_org, item_reviewed, review_rating,
      date_published, date_reviewed, positive_notes, negative_notes,
      submitted_by
    ) VALUES ($1,$2,$3,$4,$5,$6,$7,$8,$9,$10,$11,$12,$13,$14,$15,$16,$17,$18,$19,$20)
    RETURNING id, promo_gate, status, score_composite`,
    [
      body.claim_id || `CLAIM-${Date.now()}`,
      body.claim_text, body.case_ref, body.source, body.db_tag,
      body.tier, body.url, body.date_accessed, body.verification,
      body.corroboration || 0, body.notes,
      body.author_name, body.author_org, body.item_reviewed,
      body.review_rating, body.date_published, body.date_reviewed,
      body.positive_notes, body.negative_notes,
      body.submitted_by || 'anonymous'
    ]
  );
  const entry = result.rows[0];
  // 3. Return result with scoring feedback
  return Response.json({
    ok: true,
    id: entry.id,
    promo_gate: entry.promo_gate,
    status: entry.status,
    score: entry.score_composite,
    message: entry.promo_gate === 'READY'
      ? 'Entry scored and staged for promotion.'
      : 'Entry saved as draft. Fill required fields to qualify for promotion.'
  }, { status: 201 });
}</t>
  </si>
  <si>
    <t>SUBMIT ENDPOINT
Flow:
1. Form posts JSON to Worker
2. Server-side validation (same rules as Excel dropdowns)
3. Insert into Postgres via Hyperdrive
4. Trigger auto-computes all 5 scores
5. Returns promo_gate status immediately
The user sees instant feedback:
• 'Entry scored and staged for promotion' if it passes
• 'Fill required fields to qualify' if it doesn't
They never see the scores directly — just the gate result. Same stealth scoring as the Excel sheet.
Claim IDs auto-generate if not provided.
Env bindings needed:
• HYPERDRIVE: Cloudflare Hyperdrive binding to your Postgres</t>
  </si>
  <si>
    <t>GET /api/evidence
(list + filter)</t>
  </si>
  <si>
    <t>// GET /api/evidence?tier=T1&amp;status=promoted&amp;limit=50
export async function onRequestGet({ request, env }) {
  const url = new URL(request.url);
  const tier = url.searchParams.get('tier');
  const status = url.searchParams.get('status') || 'promoted';
  const db_tag = url.searchParams.get('db_tag');
  const limit = Math.min(parseInt(url.searchParams.get('limit') || '50'), 200);
  const offset = parseInt(url.searchParams.get('offset') || '0');
  let query = 'SELECT * FROM evidence_entries WHERE 1=1';
  const params = [];
  let i = 1;
  if (tier) { query += ` AND tier = $${i++}`; params.push(tier); }
  if (status) { query += ` AND status = $${i++}`; params.push(status); }
  if (db_tag) { query += ` AND db_tag = $${i++}`; params.push(db_tag); }
  query += ` ORDER BY score_composite DESC, created_at DESC LIMIT $${i++} OFFSET $${i++}`;
  params.push(limit, offset);
  const db = env.HYPERDRIVE.connect();
  const result = await db.query(query, params);
  // Add JSON-LD for promoted entries
  const entries = result.rows.map(row =&gt; ({
    ...row,
    // Strip score columns from public response
    score_completeness: undefined,
    score_quality: undefined,
    score_consistency: undefined,
    score_composite: undefined,
    jsonld: row.promo_gate === 'READY' ? buildClaimReviewLD(row) : null
  }));
  return Response.json({ ok: true, entries, count: entries.length });
}</t>
  </si>
  <si>
    <t>LIST ENDPOINT
Default: returns only promoted entries
Filters: tier, status, db_tag
Sort: composite score DESC
Score columns are STRIPPED from public response. Users see the data + the promo_gate flag but never the numeric scores.
The jsonld field contains pre-built ClaimReview JSON-LD for each promoted entry. Your SPA can inject this directly — no client-side serialization needed.
For the YAML export endpoint, add:
GET /api/evidence.yaml
(same query, serialize as YAML)</t>
  </si>
  <si>
    <t>POST /api/evidence/:id/promote
(manual promotion)</t>
  </si>
  <si>
    <t>// POST /api/evidence/:id/promote
// Moves a staged entry to promoted (live on site)
export async function onRequestPost({ params, env }) {
  const db = env.HYPERDRIVE.connect();
  // Only promote if gate is READY and status is staged
  const result = await db.query(
    `UPDATE evidence_entries
     SET status = 'promoted', promoted_at = NOW(), updated_at = NOW()
     WHERE id = $1 AND promo_gate = 'READY' AND status = 'staged'
     RETURNING id, claim_id, promo_gate, status`,
    [params.id]
  );
  if (result.rows.length === 0) {
    return Response.json({
      ok: false,
      error: 'Entry not found, not staged, or promo gate is BLOCKED'
    }, { status: 400 });
  }
  // Purge Cloudflare cache for this case page
  // (so JSON-LD updates immediately)
  await env.CACHE.purge({ tags: [`case-${result.rows[0].case_ref}`] });
  return Response.json({
    ok: true,
    entry: result.rows[0],
    message: 'Entry promoted to live site. JSON-LD will be injected on next page load.'
  });
}</t>
  </si>
  <si>
    <t>PROMOTE ENDPOINT
The gate between 'staged' and 'promoted' (live on site).
Double-checks:
• promo_gate must be 'READY'
• status must be 'staged'
Both must be true. Even if someone calls this endpoint directly, a BLOCKED entry can't be promoted.
Optional: purge Cloudflare cache so the JSON-LD shows up immediately on the case page.
This is the manual step. You could also set up a cron Worker to auto-promote all 'staged' + 'READY' entries on a schedule.</t>
  </si>
  <si>
    <t>── 3. HTML FORM TEMPLATE ──</t>
  </si>
  <si>
    <t>Evidence Entry Form
(Schema.org microdata baked in)</t>
  </si>
  <si>
    <t>&lt;form id="evidence-form" itemscope itemtype="https://schema.org/ClaimReview"
  method="POST" action="/api/evidence"&gt;
  &lt;input type="hidden" name="@context" value="https://schema.org" /&gt;
  &lt;input type="hidden" name="@type" value="ClaimReview" /&gt;
  &lt;!-- CORE FIELDS --&gt;
  &lt;fieldset&gt;
    &lt;legend&gt;Evidence Details&lt;/legend&gt;
    &lt;label for="claim_text"&gt;Claim Being Evaluated *&lt;/label&gt;
    &lt;textarea id="claim_text" name="claim_text" required
      itemprop="claimReviewed" rows="3"
      placeholder="The specific claim you are evaluating..."&gt;&lt;/textarea&gt;
    &lt;label for="source"&gt;Source *&lt;/label&gt;
    &lt;input type="text" id="source" name="source" required
      placeholder="Where does this evidence come from?" /&gt;
    &lt;label for="db_tag"&gt;Evidence Type *&lt;/label&gt;
    &lt;select id="db_tag" name="db_tag" required itemprop="additionalType"&gt;
      &lt;option value=""&gt;Select evidence type...&lt;/option&gt;
      &lt;optgroup label="T1 — Primary Sources (Strongest)"&gt;
        &lt;option value="declass_gov"&gt;Declassified Government Documents&lt;/option&gt;
        &lt;option value="congress_record"&gt;Congressional/Parliamentary Records&lt;/option&gt;
        &lt;option value="court_record"&gt;Court Records&lt;/option&gt;
        &lt;option value="official_admit"&gt;Official Admissions/Apologies&lt;/option&gt;
        &lt;option value="leaked_doc"&gt;Leaked Documents&lt;/option&gt;
        &lt;option value="peer_reviewed"&gt;Scientific/Peer-Reviewed Studies&lt;/option&gt;
        &lt;option value="financial_record"&gt;Financial Records&lt;/option&gt;
        &lt;option value="forensic"&gt;Physical/Forensic Evidence&lt;/option&gt;
      &lt;/optgroup&gt;
      &lt;optgroup label="T2 — Secondary Sources (Supporting)"&gt;
        &lt;option value="invest_journalism"&gt;Investigative Journalism&lt;/option&gt;
        &lt;option value="witness_named"&gt;Witness Testimony (Named)&lt;/option&gt;
        &lt;option value="whistleblower"&gt;Whistleblower Disclosures&lt;/option&gt;
        &lt;option value="academic_research"&gt;Academic Research/Analysis&lt;/option&gt;
        &lt;option value="verified_media"&gt;Photographic/Video Evidence (Verified)&lt;/option&gt;
        &lt;option value="foia_response"&gt;FOIA Request Responses&lt;/option&gt;
        &lt;option value="audit_report"&gt;Audit Reports&lt;/option&gt;
      &lt;/optgroup&gt;
      &lt;optgroup label="T3 — Tertiary Sources (Contextual)"&gt;
        &lt;option value="stat_pattern"&gt;Statistical/Pattern Analysis&lt;/option&gt;
        &lt;option value="circumstantial"&gt;Circumstantial Evidence Chains&lt;/option&gt;
        &lt;option value="historical_prec"&gt;Historical Precedent&lt;/option&gt;
        &lt;option value="expert_opinion"&gt;Expert Opinion (Named)&lt;/option&gt;
        &lt;option value="contemp_news"&gt;Contemporaneous News Reports&lt;/option&gt;
        &lt;option value="correspondence"&gt;Correspondence/Communications&lt;/option&gt;
      &lt;/optgroup&gt;
      &lt;optgroup label="T4 — Weak Sources (Requires Corroboration)"&gt;
        &lt;option value="anon_source"&gt;Anonymous Sources&lt;/option&gt;
        &lt;option value="hearsay"&gt;Secondhand/Hearsay Accounts&lt;/option&gt;
        &lt;option value="unverified_doc"&gt;Unverified Documents&lt;/option&gt;
        &lt;option value="confession"&gt;Confession/Deathbed Statement&lt;/option&gt;
        &lt;option value="uncontrolled_pattern"&gt;Pattern Recognition Without Controls&lt;/option&gt;
        &lt;option value="archived_content"&gt;Archived/Deleted Content&lt;/option&gt;
        &lt;option value="documentary_claim"&gt;Documentary Film Claims&lt;/option&gt;
      &lt;/optgroup&gt;
      &lt;optgroup label="T5 — Weakest Sources (Flag but Don't Dismiss)"&gt;
        &lt;option value="single_source"&gt;Single-Source Claims&lt;/option&gt;
        &lt;option value="anon_post"&gt;Anonymous Internet Posts&lt;/option&gt;
        &lt;option value="channeled"&gt;Channeled/Psychic/Revelatory Material&lt;/option&gt;
        &lt;option value="unverifiable"&gt;Unverifiable by Design&lt;/option&gt;
        &lt;option value="circular_ref"&gt;Circular/Self-Referencing&lt;/option&gt;
        &lt;option value="ai_generated"&gt;AI-Generated/Manipulated Content&lt;/option&gt;
      &lt;/optgroup&gt;
      &lt;optgroup label="N — Negative Evidence (Absence as Data)"&gt;
        &lt;option value="conspic_absence"&gt;Conspicuous Absence&lt;/option&gt;
        &lt;option value="suppression"&gt;Suppression Evidence&lt;/option&gt;
        &lt;option value="non_denial"&gt;Non-Denial Denials&lt;/option&gt;
        &lt;option value="redaction_pattern"&gt;Classification/Redaction Patterns&lt;/option&gt;
      &lt;/optgroup&gt;
    &lt;/select&gt;
    &lt;label for="tier"&gt;Evidence Tier *&lt;/label&gt;
    &lt;select id="tier" name="tier" required&gt;
      &lt;option value=""&gt;Select tier...&lt;/option&gt;
      &lt;option value="T1"&gt;T1 — Primary (Strongest)&lt;/option&gt;
      &lt;option value="T2"&gt;T2 — Secondary (Supporting)&lt;/option&gt;
      &lt;option value="T3"&gt;T3 — Tertiary (Contextual)&lt;/option&gt;
      &lt;option value="T4"&gt;T4 — Weak (Requires Corroboration)&lt;/option&gt;
      &lt;option value="T5"&gt;T5 — Weakest (Flag but Don't Dismiss)&lt;/option&gt;
      &lt;option value="N"&gt;N — Negative Evidence (Absence as Data)&lt;/option&gt;
    &lt;/select&gt;
    &lt;label for="url"&gt;Source URL *&lt;/label&gt;
    &lt;input type="url" id="url" name="url" required itemprop="url"
      placeholder="https://..." /&gt;
    &lt;label for="verification"&gt;Verification Status *&lt;/label&gt;
    &lt;select id="verification" name="verification" required&gt;
      &lt;option value=""&gt;Select status...&lt;/option&gt;
      &lt;option value="verified"&gt;Verified&lt;/option&gt;
      &lt;option value="pending"&gt;Pending&lt;/option&gt;
      &lt;option value="disputed"&gt;Disputed&lt;/option&gt;
      &lt;option value="unverifiable"&gt;Unverifiable&lt;/option&gt;
    &lt;/select&gt;
    &lt;label for="corroboration"&gt;Independent Corroboration Count&lt;/label&gt;
    &lt;input type="number" id="corroboration" name="corroboration" min="0" value="0" /&gt;
    &lt;label for="notes"&gt;Notes&lt;/label&gt;
    &lt;textarea id="notes" name="notes" rows="2" itemprop="reviewBody"
      placeholder="Additional context or annotations..."&gt;&lt;/textarea&gt;
  &lt;/fieldset&gt;
  &lt;!-- SCHEMA.ORG FIELDS (for promotion) --&gt;
  &lt;fieldset&gt;
    &lt;legend&gt;Author &amp;amp; Review Details (needed for web publication)&lt;/legend&gt;
    &lt;label for="author_name"&gt;Author Name&lt;/label&gt;
    &lt;input type="text" id="author_name" name="author_name"
      itemprop="author" placeholder="Named person who authored this evidence" /&gt;
    &lt;label for="author_org"&gt;Author Organization&lt;/label&gt;
    &lt;input type="text" id="author_org" name="author_org"
      placeholder="Organization (e.g. Washington Post, MIT, CIA)" /&gt;
    &lt;label for="item_reviewed"&gt;Item Reviewed&lt;/label&gt;
    &lt;input type="text" id="item_reviewed" name="item_reviewed"
      itemprop="itemReviewed" placeholder="What specific thing is being fact-checked?" /&gt;
    &lt;label for="review_rating"&gt;Review Rating&lt;/label&gt;
    &lt;select id="review_rating" name="review_rating"&gt;
      &lt;option value=""&gt;Select verdict...&lt;/option&gt;
      &lt;option value="True"&gt;True&lt;/option&gt;
      &lt;option value="Mostly True"&gt;Mostly True&lt;/option&gt;
      &lt;option value="Mixed"&gt;Mixed&lt;/option&gt;
      &lt;option value="Mostly False"&gt;Mostly False&lt;/option&gt;
      &lt;option value="False"&gt;False&lt;/option&gt;
      &lt;option value="Unproven"&gt;Unproven&lt;/option&gt;
    &lt;/select&gt;
    &lt;label for="date_published"&gt;Date Published&lt;/label&gt;
    &lt;input type="date" id="date_published" name="date_published" /&gt;
    &lt;label for="positive_notes"&gt;Strengths of Evidence&lt;/label&gt;
    &lt;textarea id="positive_notes" name="positive_notes" rows="2"
      placeholder="What makes this evidence strong?"&gt;&lt;/textarea&gt;
    &lt;label for="negative_notes"&gt;Weaknesses of Evidence&lt;/label&gt;
    &lt;textarea id="negative_notes" name="negative_notes" rows="2"
      placeholder="Caveats, limitations, concerns?"&gt;&lt;/textarea&gt;
  &lt;/fieldset&gt;
  &lt;button type="submit"&gt;Submit Evidence&lt;/button&gt;
&lt;/form&gt;</t>
  </si>
  <si>
    <t>FORM STRUCTURE
Two fieldsets:
1. Core Evidence Details (required)
2. Author &amp; Review (needed for promotion)
The form DOES NOT show scoring fields. Users fill in evidence naturally. The server-side trigger scores it and they get back a simple pass/fail.
Schema.org microdata is baked into the HTML:
• itemscope itemtype="ClaimReview" on &lt;form&gt;
• itemprop on key fields
• This means even the FORM PAGE itself is structured data
The &lt;select&gt; for db_tag uses &lt;optgroup&gt; to mirror your 6-tier taxonomy structure. Users see the hierarchy.
All required fields marked with * match the promo gate hard requirements.
The form posts JSON to /api/evidence (Worker endpoint above).
For SPA: replace form action with fetch() call and handle the response JSON (promo_gate status).</t>
  </si>
  <si>
    <t>── 4. STAGING PIPELINE ──</t>
  </si>
  <si>
    <t>Status flow diagram</t>
  </si>
  <si>
    <t>EVIDENCE ENTRY LIFECYCLE:
  ┌─────────┐     ┌─────────┐     ┌───────────┐     ┌──────────┐
  │  DRAFT  │ ───▶ │ STAGED  │ ───▶ │ PROMOTED  │ ───▶ │ ARCHIVED │
  └─────────┘     └─────────┘     └───────────┘     └──────────┘
       │              │                │                │
  Form submit     Auto if       POST /promote     Manual or
  POST /evidence  gate=READY    (manual review)    superseded
       │              │                │
  Trigger scores  ┌───┴───┐    JSON-LD injected
  all 5 metrics   │ BLOCKED│    on case page
                  └───────┘
                  Stays draft,
                  user sees
                  'needs more info'
TRANSITION RULES:
  draft → staged    : AUTOMATIC when promo_gate = 'READY' (trigger)
  draft → draft     : If gate = 'BLOCKED', stays draft with feedback
  staged → promoted : MANUAL via POST /api/evidence/:id/promote
  staged → draft    : If edited and gate becomes 'BLOCKED'
  promoted → archived: MANUAL or via expiry rule
  ANY → rescored    : Every UPDATE re-triggers scoring</t>
  </si>
  <si>
    <t>KEY DESIGN DECISIONS:
1. draft → staged is AUTO
   User doesn't need to know about staging. They fill in the form, and if it's good enough, it advances silently.
2. staged → promoted is MANUAL
   This is your editorial gate. Even if the scores are perfect, a human decides when it goes live. You can also add a cron Worker to auto-promote staged entries older than N days.
3. Editing can UN-PROMOTE
   If someone edits a promoted entry and it drops below thresholds, the trigger resets promo_gate to BLOCKED. The status stays 'promoted' but JSON-LD won't render (filtered by promo_gate in the GET endpoint).
4. Scores are NEVER shown to the user
   They see:
   • 'Entry saved' (draft)
   • 'Entry qualified for publication' (staged)
   • Live on site (promoted)
   • 'Needs more information' (blocked)
   They never see 73% completeness or 85 quality.</t>
  </si>
  <si>
    <t>── 5. CLOUDFLARE DEPLOYMENT ──</t>
  </si>
  <si>
    <t>wrangler.toml</t>
  </si>
  <si>
    <t>name = "openintel-api"
main = "src/index.ts"
compatibility_date = "2025-01-01"
# Hyperdrive binding to your Postgres
[[hyperdrive]]
binding = "HYPERDRIVE"
id = "&lt;your-hyperdrive-config-id&gt;"
# Routes
[[routes]]
pattern = "/api/evidence*"
zone_name = "openintel.org"
# Optional: D1 for caching / analytics
[[d1_databases]]
binding = "ANALYTICS"
database_name = "openintel-analytics"
database_id = "&lt;d1-database-id&gt;"
# KV for rate limiting
[[kv_namespaces]]
binding = "RATE_LIMIT"
id = "&lt;kv-namespace-id&gt;"</t>
  </si>
  <si>
    <t>DEPLOYMENT CONFIG
Hyperdrive connects your Cloudflare Worker to Postgres.
Setup:
1. npx wrangler hyperdrive create openintel-db \
   --connection-string="postgres://user:pass@host:5432/openintel"
2. npx wrangler deploy
3. Point DNS: openintel.org → Cloudflare
Optional D1:
You could mirror promoted entries to D1 for edge-cached reads. Writes go to Postgres, reads from D1. But Hyperdrive alone is fine for your scale.
Rate limiting via KV:
Prevent form spam. Track submissions per IP per hour.</t>
  </si>
  <si>
    <t>── 6. PROJECT FILE STRUCTURE ──</t>
  </si>
  <si>
    <t>Directory layout</t>
  </si>
  <si>
    <t>openintel/
├── wrangler.toml                      # Cloudflare config (Section 5)
├── migrations/
│   ├── 001_create_taxonomy.sql          # evidence_taxonomy table + seed data
│   ├── 002_create_entries.sql           # evidence_entries table + indexes
│   └── 003_create_scoring_trigger.sql   # compute_evidence_scores() trigger
├── src/
│   ├── index.ts                        # Worker entry point + router
│   ├── routes/
│   │   ├── evidence.post.ts            # POST /api/evidence (Section 2)
│   │   ├── evidence.get.ts             # GET /api/evidence (Section 2)
│   │   └── evidence.promote.ts         # POST /api/evidence/:id/promote
│   ├── lib/
│   │   ├── validation.ts               # Server-side validation rules
│   │   ├── jsonld.ts                   # buildClaimReviewLD() + buildDatasetLD()
│   │   └── taxonomy.ts                 # DB_TAG enum, tier weights, type map
│   └── types.ts                        # TypeScript interfaces
├── public/
│   ├── evidence-form.html              # Form template (Section 3)
│   └── form.js                         # SPA form handler + fetch logic
└── package.json</t>
  </si>
  <si>
    <t>Every section of this spec maps to a file.
Migrations run in order on Postgres:
  psql -d openintel -f migrations/001_create_taxonomy.sql
  psql -d openintel -f migrations/002_create_entries.sql
  psql -d openintel -f migrations/003_create_scoring_trigger.sql
The lib/taxonomy.ts should be auto-generated from your EVIDENCE_TAXONOMY Excel sheet so the 38 types stay in sync.
The jsonld.ts is the same code from your JSONLD_TEMPLATES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</si>
</sst>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mm/dd/yyyy"/>
    <numFmt numFmtId="168" formatCode="0.000"/>
    <numFmt numFmtId="169" formatCode="0&quot;%&quot;"/>
  </numFmts>
  <fonts count="216">
    <font>
      <sz val="11"/>
      <color theme="1"/>
      <name val="Calibri"/>
      <family val="2"/>
      <scheme val="minor"/>
    </font>
    <font>
      <sz val="9"/>
      <name val="Arial"/>
    </font>
    <font>
      <b/>
      <sz val="18"/>
      <color rgb="FFD4A843"/>
      <name val="Arial"/>
    </font>
    <font>
      <i/>
      <sz val="9"/>
      <color rgb="FF888888"/>
      <name val="Arial"/>
    </font>
    <font>
      <b/>
      <sz val="12"/>
      <color rgb="FFFFFFFF"/>
      <name val="Arial"/>
    </font>
    <font>
      <b/>
      <sz val="10"/>
      <color rgb="FF333333"/>
      <name val="Arial"/>
    </font>
    <font>
      <sz val="10"/>
      <color rgb="FF000000"/>
      <name val="Arial"/>
    </font>
    <font>
      <b/>
      <sz val="10"/>
      <color rgb="FFD4A843"/>
      <name val="Arial"/>
    </font>
    <font>
      <b/>
      <sz val="10"/>
      <color rgb="FFFFFFFF"/>
      <name val="Arial"/>
    </font>
    <font>
      <sz val="9"/>
      <color rgb="FF666666"/>
      <name val="JetBrains Mono"/>
    </font>
    <font>
      <b/>
      <sz val="18"/>
      <color rgb="FFCC3333"/>
      <name val="Arial"/>
    </font>
    <font>
      <i/>
      <sz val="10"/>
      <color rgb="FFD4A843"/>
      <name val="Arial"/>
    </font>
    <font>
      <sz val="9"/>
      <color rgb="FF888888"/>
      <name val="Arial"/>
    </font>
    <font>
      <sz val="11"/>
      <color theme="1"/>
      <name val="Calibri"/>
      <scheme val="minor"/>
    </font>
    <font>
      <b/>
      <sz val="10"/>
      <color rgb="FF666666"/>
      <name val="Arial"/>
    </font>
    <font>
      <b/>
      <sz val="9"/>
      <color rgb="FF666666"/>
      <name val="Arial"/>
    </font>
    <font>
      <b/>
      <sz val="9"/>
      <color rgb="FF666666"/>
      <name val="JetBrains Mono"/>
    </font>
    <font>
      <sz val="9"/>
      <color theme="1"/>
      <name val="Arial"/>
    </font>
    <font>
      <b/>
      <sz val="9"/>
      <color rgb="FFFFFFFF"/>
      <name val="Arial"/>
    </font>
    <font>
      <sz val="9"/>
      <color rgb="FF0000FF"/>
      <name val="Arial"/>
    </font>
    <font>
      <i/>
      <sz val="9"/>
      <color rgb="FF0000FF"/>
      <name val="Arial"/>
    </font>
    <font>
      <sz val="8"/>
      <color rgb="FFCC3333"/>
      <name val="Arial"/>
    </font>
    <font>
      <b/>
      <i/>
      <sz val="9"/>
      <color rgb="FF888888"/>
      <name val="Arial"/>
    </font>
    <font>
      <b/>
      <sz val="9"/>
      <color rgb="FF333333"/>
      <name val="Arial"/>
    </font>
    <font>
      <b/>
      <sz val="20"/>
      <color rgb="FFD4A843"/>
      <name val="Arial"/>
    </font>
    <font>
      <b/>
      <sz val="10"/>
      <color rgb="FF0000FF"/>
      <name val="Arial"/>
    </font>
    <font>
      <b/>
      <sz val="14"/>
      <color rgb="FF0000FF"/>
      <name val="Arial"/>
    </font>
    <font>
      <b/>
      <sz val="10"/>
      <color rgb="FF228B22"/>
      <name val="Arial"/>
    </font>
    <font>
      <b/>
      <sz val="10"/>
      <color rgb="FFCC3333"/>
      <name val="Arial"/>
    </font>
    <font>
      <sz val="9"/>
      <color rgb="FFCC3333"/>
      <name val="Arial"/>
    </font>
    <font>
      <sz val="10"/>
      <color theme="1"/>
      <name val="Calibri"/>
      <family val="2"/>
      <scheme val="minor"/>
    </font>
    <font>
      <sz val="10"/>
      <color theme="1"/>
      <name val="Arial"/>
    </font>
    <font>
      <b/>
      <sz val="9"/>
      <color rgb="FFD4A843"/>
      <name val="Arial"/>
    </font>
    <font>
      <b/>
      <i/>
      <sz val="9"/>
      <color rgb="FFFFFFFF"/>
      <name val="Arial"/>
    </font>
    <font>
      <sz val="9"/>
      <color rgb="FF666666"/>
      <name val="Arial"/>
    </font>
    <font>
      <b/>
      <sz val="11"/>
      <color rgb="FFFFFFFF"/>
      <name val="Arial"/>
    </font>
    <font>
      <sz val="9"/>
      <color rgb="FFD4A843"/>
      <name val="Arial"/>
    </font>
    <font>
      <b/>
      <sz val="14"/>
      <color rgb="FFD4A843"/>
      <name val="Arial"/>
    </font>
    <font>
      <i/>
      <sz val="9"/>
      <color theme="1"/>
      <name val="Arial"/>
    </font>
    <font>
      <b/>
      <sz val="11"/>
      <color rgb="FFD4A843"/>
      <name val="Arial"/>
    </font>
    <font>
      <b/>
      <i/>
      <sz val="8"/>
      <color rgb="FF666666"/>
      <name val="Arial"/>
    </font>
    <font>
      <b/>
      <sz val="9"/>
      <color rgb="FFCC3333"/>
      <name val="Arial"/>
    </font>
    <font>
      <b/>
      <sz val="9"/>
      <color theme="1"/>
      <name val="Arial"/>
    </font>
    <font>
      <i/>
      <sz val="8"/>
      <color rgb="FF666666"/>
      <name val="Arial"/>
    </font>
    <font>
      <i/>
      <sz val="8"/>
      <color rgb="FF888888"/>
      <name val="Arial"/>
    </font>
    <font>
      <i/>
      <sz val="9"/>
      <color rgb="FFCC3333"/>
      <name val="Arial"/>
    </font>
    <font>
      <i/>
      <sz val="8"/>
      <color rgb="FFCC3333"/>
      <name val="Arial"/>
    </font>
    <font>
      <b/>
      <i/>
      <sz val="12"/>
      <color rgb="FFFFFFFF"/>
      <name val="Arial"/>
    </font>
    <font>
      <sz val="8"/>
      <color theme="1"/>
      <name val="Arial"/>
    </font>
    <font>
      <b/>
      <sz val="8"/>
      <color theme="1"/>
      <name val="Arial"/>
    </font>
    <font>
      <sz val="9"/>
      <color rgb="FFD4A843"/>
      <name val="JetBrains Mono"/>
    </font>
    <font>
      <i/>
      <sz val="9"/>
      <color rgb="FFD4A843"/>
      <name val="JetBrains Mono"/>
    </font>
    <font>
      <b/>
      <sz val="12"/>
      <color rgb="FFD4A843"/>
      <name val="Arial"/>
    </font>
    <font>
      <i/>
      <sz val="8"/>
      <color rgb="FF999999"/>
      <name val="Arial"/>
    </font>
    <font>
      <i/>
      <sz val="7"/>
      <color rgb="FF999999"/>
      <name val="Arial"/>
    </font>
    <font>
      <sz val="9"/>
      <color rgb="FF008000"/>
      <name val="Arial"/>
    </font>
    <font>
      <b/>
      <sz val="9"/>
      <color rgb="FF008000"/>
      <name val="Arial"/>
    </font>
    <font>
      <i/>
      <sz val="9"/>
      <color rgb="FFD4A843"/>
      <name val="Arial"/>
    </font>
    <font>
      <b/>
      <i/>
      <sz val="9"/>
      <color rgb="FFD4A843"/>
      <name val="Arial"/>
    </font>
    <font>
      <i/>
      <sz val="10"/>
      <color rgb="FF888888"/>
      <name val="Arial"/>
    </font>
    <font>
      <b/>
      <sz val="16"/>
      <color rgb="FFD4A843"/>
      <name val="Arial"/>
    </font>
    <font>
      <b/>
      <sz val="8"/>
      <color rgb="FFFFFFFF"/>
      <name val="JetBrains Mono"/>
    </font>
    <font>
      <sz val="7"/>
      <color rgb="FF666666"/>
      <name val="JetBrains Mono"/>
    </font>
    <font>
      <sz val="7"/>
      <color rgb="FFFF6666"/>
      <name val="JetBrains Mono"/>
    </font>
    <font>
      <sz val="7"/>
      <color rgb="FFAAAAAA"/>
      <name val="JetBrains Mono"/>
    </font>
    <font>
      <sz val="7"/>
      <color rgb="FF00CC00"/>
      <name val="JetBrains Mono"/>
    </font>
    <font>
      <sz val="7"/>
      <color rgb="FFFFAA00"/>
      <name val="JetBrains Mono"/>
    </font>
    <font>
      <sz val="7"/>
      <color rgb="FFD4A843"/>
      <name val="JetBrains Mono"/>
    </font>
    <font>
      <i/>
      <sz val="9"/>
      <color rgb="FF666666"/>
      <name val="Arial"/>
    </font>
    <font>
      <b/>
      <i/>
      <sz val="9"/>
      <color rgb="FFCC3333"/>
      <name val="Arial"/>
    </font>
    <font>
      <sz val="9"/>
      <color rgb="FF888888"/>
      <name val="JetBrains Mono"/>
    </font>
    <font>
      <sz val="9"/>
      <color theme="1"/>
      <name val="JetBrains Mono"/>
    </font>
    <font>
      <sz val="9"/>
      <color rgb="FFCC3333"/>
      <name val="JetBrains Mono"/>
    </font>
    <font>
      <sz val="9"/>
      <color rgb="FF0066CC"/>
      <name val="JetBrains Mono"/>
    </font>
    <font>
      <sz val="9"/>
      <color rgb="FF008000"/>
      <name val="JetBrains Mono"/>
    </font>
    <font>
      <sz val="9"/>
      <color rgb="FF9933CC"/>
      <name val="JetBrains Mono"/>
    </font>
    <font>
      <sz val="9"/>
      <color rgb="FFFF6600"/>
      <name val="JetBrains Mono"/>
    </font>
    <font>
      <b/>
      <i/>
      <sz val="10"/>
      <color rgb="FFD4A843"/>
      <name val="Arial"/>
    </font>
    <font>
      <sz val="9"/>
      <color rgb="FFAAAAAA"/>
      <name val="Arial"/>
    </font>
    <font>
      <i/>
      <sz val="9"/>
      <color rgb="FFAAAAAA"/>
      <name val="Arial"/>
    </font>
    <font>
      <b/>
      <sz val="9"/>
      <color rgb="FFD4A843"/>
      <name val="JetBrains Mono"/>
    </font>
    <font>
      <sz val="8"/>
      <color rgb="FFD4A843"/>
      <name val="JetBrains Mono"/>
    </font>
    <font>
      <b/>
      <sz val="8"/>
      <color rgb="FFD4A843"/>
      <name val="JetBrains Mono"/>
    </font>
    <font>
      <sz val="10"/>
      <color rgb="FF666666"/>
      <name val="Arial"/>
    </font>
    <font>
      <sz val="12"/>
      <color theme="1"/>
      <name val="Calibri"/>
      <family val="2"/>
      <scheme val="minor"/>
    </font>
    <font>
      <sz val="8"/>
      <color rgb="FF666666"/>
      <name val="JetBrains Mono"/>
    </font>
    <font>
      <sz val="9"/>
      <color rgb="FFFF6666"/>
      <name val="JetBrains Mono"/>
    </font>
    <font>
      <b/>
      <sz val="9"/>
      <color rgb="FFFF6666"/>
      <name val="JetBrains Mono"/>
    </font>
    <font>
      <b/>
      <sz val="9"/>
      <color rgb="FFAAAAAA"/>
      <name val="JetBrains Mono"/>
    </font>
    <font>
      <sz val="8"/>
      <color rgb="FFCCCCCC"/>
      <name val="Arial"/>
    </font>
    <font>
      <sz val="8"/>
      <color rgb="FF00CC00"/>
      <name val="JetBrains Mono"/>
    </font>
    <font>
      <sz val="10"/>
      <color rgb="FF00CC00"/>
      <name val="Arial"/>
    </font>
    <font>
      <sz val="8"/>
      <color rgb="FFFFAA00"/>
      <name val="JetBrains Mono"/>
    </font>
    <font>
      <sz val="14"/>
      <color rgb="FFFFAA00"/>
      <name val="Arial"/>
    </font>
    <font>
      <sz val="14"/>
      <color rgb="FFFF6666"/>
      <name val="Arial"/>
    </font>
    <font>
      <sz val="8"/>
      <color rgb="FFFFAA00"/>
      <name val="Arial"/>
    </font>
    <font>
      <i/>
      <sz val="8"/>
      <color rgb="FFFFAA00"/>
      <name val="Arial"/>
    </font>
    <font>
      <sz val="8"/>
      <color rgb="FFFF6666"/>
      <name val="JetBrains Mono"/>
    </font>
    <font>
      <b/>
      <sz val="10"/>
      <color rgb="FF00CC00"/>
      <name val="JetBrains Mono"/>
    </font>
    <font>
      <sz val="8"/>
      <color rgb="FF00CC00"/>
      <name val="Arial"/>
    </font>
    <font>
      <b/>
      <sz val="10"/>
      <color rgb="FFFFAA00"/>
      <name val="JetBrains Mono"/>
    </font>
    <font>
      <b/>
      <sz val="10"/>
      <color rgb="FFFF6666"/>
      <name val="JetBrains Mono"/>
    </font>
    <font>
      <sz val="8"/>
      <color rgb="FFFF6666"/>
      <name val="Arial"/>
    </font>
    <font>
      <sz val="9"/>
      <color rgb="FF00CC00"/>
      <name val="JetBrains Mono"/>
    </font>
    <font>
      <sz val="8"/>
      <color rgb="FFAAAAAA"/>
      <name val="Arial"/>
    </font>
    <font>
      <sz val="9"/>
      <color rgb="FFFFAA00"/>
      <name val="JetBrains Mono"/>
    </font>
    <font>
      <sz val="9"/>
      <color rgb="FFFF0000"/>
      <name val="JetBrains Mono"/>
    </font>
    <font>
      <sz val="9"/>
      <color rgb="FFCCCCCC"/>
      <name val="Arial"/>
    </font>
    <font>
      <sz val="9"/>
      <color rgb="FFFF6666"/>
      <name val="Arial"/>
    </font>
    <font>
      <b/>
      <sz val="10"/>
      <color rgb="FFD4A843"/>
      <name val="JetBrains Mono"/>
    </font>
    <font>
      <i/>
      <sz val="8"/>
      <color rgb="FFFF6666"/>
      <name val="Arial"/>
    </font>
    <font>
      <b/>
      <sz val="11"/>
      <color theme="1"/>
      <name val="Calibri"/>
      <family val="2"/>
      <scheme val="minor"/>
    </font>
    <font>
      <b/>
      <sz val="16"/>
      <color rgb="FF000000"/>
      <name val="Calibri"/>
      <family val="2"/>
      <scheme val="minor"/>
    </font>
    <font>
      <i/>
      <sz val="10"/>
      <color rgb="FF555555"/>
      <name val="Calibri"/>
      <family val="2"/>
      <scheme val="minor"/>
    </font>
    <font>
      <b/>
      <sz val="12"/>
      <color rgb="FFFFFFFF"/>
      <name val="Calibri"/>
      <family val="2"/>
      <scheme val="minor"/>
    </font>
    <font>
      <sz val="11"/>
      <color rgb="FF0000FF"/>
      <name val="Calibri"/>
      <family val="2"/>
      <scheme val="minor"/>
    </font>
    <font>
      <b/>
      <sz val="11"/>
      <color rgb="FF0000FF"/>
      <name val="Calibri"/>
      <family val="2"/>
      <scheme val="minor"/>
    </font>
    <font>
      <b/>
      <sz val="11"/>
      <color rgb="FF2F5496"/>
      <name val="Calibri"/>
      <family val="2"/>
      <scheme val="minor"/>
    </font>
    <font>
      <b/>
      <sz val="11"/>
      <color rgb="FFFFFFFF"/>
      <name val="Calibri"/>
      <family val="2"/>
      <scheme val="minor"/>
    </font>
    <font>
      <i/>
      <sz val="11"/>
      <color theme="1"/>
      <name val="Calibri"/>
      <family val="2"/>
      <scheme val="minor"/>
    </font>
    <font>
      <b/>
      <sz val="9"/>
      <name val="Arial"/>
    </font>
    <font>
      <b/>
      <sz val="11"/>
      <color rgb="FF7030A0"/>
      <name val="Calibri"/>
      <family val="2"/>
      <scheme val="minor"/>
    </font>
    <font>
      <sz val="11"/>
      <color rgb="FF7030A0"/>
      <name val="Calibri"/>
      <family val="2"/>
      <scheme val="minor"/>
    </font>
    <font>
      <i/>
      <sz val="11"/>
      <color rgb="FF555555"/>
      <name val="Calibri"/>
      <family val="2"/>
      <scheme val="minor"/>
    </font>
    <font>
      <b/>
      <sz val="11"/>
      <color rgb="FF1F3864"/>
      <name val="Calibri"/>
      <family val="2"/>
      <scheme val="minor"/>
    </font>
    <font>
      <sz val="11"/>
      <color rgb="FFD18616"/>
      <name val="Calibri"/>
      <family val="2"/>
      <scheme val="minor"/>
    </font>
    <font>
      <b/>
      <sz val="11"/>
      <color rgb="FFD18616"/>
      <name val="Calibri"/>
      <family val="2"/>
      <scheme val="minor"/>
    </font>
    <font>
      <sz val="11"/>
      <color rgb="FF8B2252"/>
      <name val="Calibri"/>
      <family val="2"/>
      <scheme val="minor"/>
    </font>
    <font>
      <b/>
      <sz val="11"/>
      <color rgb="FF8B2252"/>
      <name val="Calibri"/>
      <family val="2"/>
      <scheme val="minor"/>
    </font>
    <font>
      <sz val="11"/>
      <color rgb="FFA5B4FC"/>
      <name val="Calibri"/>
      <family val="2"/>
      <scheme val="minor"/>
    </font>
    <font>
      <b/>
      <sz val="11"/>
      <color rgb="FFA5B4FC"/>
      <name val="Calibri"/>
      <family val="2"/>
      <scheme val="minor"/>
    </font>
    <font>
      <sz val="11"/>
      <color rgb="FF3FB950"/>
      <name val="Calibri"/>
      <family val="2"/>
      <scheme val="minor"/>
    </font>
    <font>
      <b/>
      <sz val="11"/>
      <color rgb="FF3FB950"/>
      <name val="Calibri"/>
      <family val="2"/>
      <scheme val="minor"/>
    </font>
    <font>
      <sz val="11"/>
      <color rgb="FF1A7431"/>
      <name val="Calibri"/>
      <family val="2"/>
      <scheme val="minor"/>
    </font>
    <font>
      <b/>
      <sz val="11"/>
      <color rgb="FF1A7431"/>
      <name val="Calibri"/>
      <family val="2"/>
      <scheme val="minor"/>
    </font>
    <font>
      <sz val="11"/>
      <color rgb="FFC00000"/>
      <name val="Calibri"/>
      <family val="2"/>
      <scheme val="minor"/>
    </font>
    <font>
      <b/>
      <sz val="11"/>
      <color rgb="FFC00000"/>
      <name val="Calibri"/>
      <family val="2"/>
      <scheme val="minor"/>
    </font>
    <font>
      <b/>
      <sz val="14"/>
      <color rgb="FF1A7431"/>
      <name val="Calibri"/>
      <family val="2"/>
      <scheme val="minor"/>
    </font>
    <font>
      <b/>
      <i/>
      <sz val="9"/>
      <color rgb="FF7030A0"/>
      <name val="Calibri"/>
      <family val="2"/>
      <scheme val="minor"/>
    </font>
    <font>
      <i/>
      <sz val="9"/>
      <color rgb="FF7030A0"/>
      <name val="Calibri"/>
      <family val="2"/>
      <scheme val="minor"/>
    </font>
    <font>
      <sz val="11"/>
      <color rgb="FF888888"/>
      <name val="Calibri"/>
      <family val="2"/>
      <scheme val="minor"/>
    </font>
    <font>
      <sz val="11"/>
      <color rgb="FF0070C0"/>
      <name val="Calibri"/>
      <family val="2"/>
      <scheme val="minor"/>
    </font>
    <font>
      <sz val="11"/>
      <color rgb="FFFF6600"/>
      <name val="Calibri"/>
      <family val="2"/>
      <scheme val="minor"/>
    </font>
    <font>
      <b/>
      <sz val="11"/>
      <color rgb="FF888888"/>
      <name val="Calibri"/>
      <family val="2"/>
      <scheme val="minor"/>
    </font>
    <font>
      <b/>
      <sz val="11"/>
      <color rgb="FF243F60"/>
      <name val="Calibri"/>
      <family val="2"/>
      <scheme val="minor"/>
    </font>
    <font>
      <b/>
      <sz val="11"/>
      <color rgb="FF7B2C9E"/>
      <name val="Calibri"/>
      <family val="2"/>
      <scheme val="minor"/>
    </font>
    <font>
      <b/>
      <i/>
      <sz val="9"/>
      <color rgb="FF7B2C9E"/>
      <name val="Calibri"/>
      <family val="2"/>
      <scheme val="minor"/>
    </font>
    <font>
      <sz val="11"/>
      <color rgb="FF7B2C9E"/>
      <name val="Calibri"/>
      <family val="2"/>
      <scheme val="minor"/>
    </font>
    <font>
      <b/>
      <sz val="9"/>
      <color rgb="FF7B2C9E"/>
      <name val="Arial"/>
    </font>
    <font>
      <sz val="11"/>
      <color rgb="FF833C00"/>
      <name val="Calibri"/>
      <family val="2"/>
      <scheme val="minor"/>
    </font>
    <font>
      <b/>
      <sz val="11"/>
      <color rgb="FF833C00"/>
      <name val="Calibri"/>
      <family val="2"/>
      <scheme val="minor"/>
    </font>
    <font>
      <b/>
      <sz val="9"/>
      <color rgb="FF833C00"/>
      <name val="Arial"/>
    </font>
    <font>
      <b/>
      <sz val="9"/>
      <color rgb="FF888888"/>
      <name val="Arial"/>
    </font>
    <font>
      <i/>
      <sz val="9"/>
      <color rgb="FF888888"/>
      <name val="Calibri"/>
      <family val="2"/>
      <scheme val="minor"/>
    </font>
    <font>
      <i/>
      <sz val="9"/>
      <color rgb="FF555555"/>
      <name val="Calibri"/>
      <family val="2"/>
      <scheme val="minor"/>
    </font>
    <font>
      <sz val="9"/>
      <color rgb="FFAAAAAA"/>
      <name val="Calibri"/>
      <family val="2"/>
      <scheme val="minor"/>
    </font>
    <font>
      <i/>
      <sz val="9"/>
      <color rgb="FFAAAAAA"/>
      <name val="Calibri"/>
      <family val="2"/>
      <scheme val="minor"/>
    </font>
    <font>
      <b/>
      <sz val="10"/>
      <color rgb="FF888888"/>
      <name val="Calibri"/>
      <family val="2"/>
      <scheme val="minor"/>
    </font>
    <font>
      <b/>
      <sz val="10"/>
      <color rgb="FF0000FF"/>
      <name val="Calibri"/>
      <family val="2"/>
      <scheme val="minor"/>
    </font>
    <font>
      <b/>
      <i/>
      <sz val="9"/>
      <color rgb="FF833C00"/>
      <name val="Calibri"/>
      <family val="2"/>
      <scheme val="minor"/>
    </font>
    <font>
      <b/>
      <sz val="10"/>
      <color rgb="FFFFFFFF"/>
      <name val="Calibri"/>
      <family val="2"/>
      <scheme val="minor"/>
    </font>
    <font>
      <i/>
      <sz val="9"/>
      <color rgb="FFFFFFFF"/>
      <name val="Calibri"/>
      <family val="2"/>
      <scheme val="minor"/>
    </font>
    <font>
      <b/>
      <sz val="16"/>
      <color rgb="FFFFFFFF"/>
      <name val="Calibri"/>
      <family val="2"/>
      <scheme val="minor"/>
    </font>
    <font>
      <sz val="11"/>
      <color rgb="FF999999"/>
      <name val="Calibri"/>
      <family val="2"/>
      <scheme val="minor"/>
    </font>
    <font>
      <b/>
      <sz val="11"/>
      <color rgb="FF0D4D1A"/>
      <name val="Calibri"/>
      <family val="2"/>
      <scheme val="minor"/>
    </font>
    <font>
      <sz val="9"/>
      <color theme="1"/>
      <name val="Calibri"/>
      <family val="2"/>
      <scheme val="minor"/>
    </font>
    <font>
      <sz val="9"/>
      <color theme="1"/>
      <name val="Consolas"/>
    </font>
    <font>
      <b/>
      <sz val="11"/>
      <color rgb="FF0A3D6E"/>
      <name val="Calibri"/>
      <family val="2"/>
      <scheme val="minor"/>
    </font>
    <font>
      <b/>
      <sz val="11"/>
      <color rgb="FFE65100"/>
      <name val="Calibri"/>
      <family val="2"/>
      <scheme val="minor"/>
    </font>
    <font>
      <b/>
      <sz val="11"/>
      <color rgb="FFB71C1C"/>
      <name val="Calibri"/>
      <family val="2"/>
      <scheme val="minor"/>
    </font>
    <font>
      <b/>
      <sz val="11"/>
      <color rgb="FF4A148C"/>
      <name val="Calibri"/>
      <family val="2"/>
      <scheme val="minor"/>
    </font>
    <font>
      <b/>
      <sz val="11"/>
      <color rgb="FFFFD600"/>
      <name val="Calibri"/>
      <family val="2"/>
      <scheme val="minor"/>
    </font>
    <font>
      <b/>
      <i/>
      <sz val="11"/>
      <color rgb="FFFFD600"/>
      <name val="Calibri"/>
      <family val="2"/>
      <scheme val="minor"/>
    </font>
    <font>
      <b/>
      <sz val="11"/>
      <color rgb="FF212121"/>
      <name val="Calibri"/>
      <family val="2"/>
      <scheme val="minor"/>
    </font>
    <font>
      <b/>
      <sz val="14"/>
      <color theme="1"/>
      <name val="Calibri"/>
      <family val="2"/>
      <scheme val="minor"/>
    </font>
    <font>
      <b/>
      <sz val="13"/>
      <color theme="1"/>
      <name val="Calibri"/>
      <family val="2"/>
      <scheme val="minor"/>
    </font>
    <font>
      <sz val="10"/>
      <color theme="1"/>
      <name val="Consolas"/>
    </font>
    <font>
      <b/>
      <sz val="13"/>
      <color rgb="FFB71C1C"/>
      <name val="Calibri"/>
      <family val="2"/>
      <scheme val="minor"/>
    </font>
    <font>
      <sz val="9"/>
      <color rgb="FFB71C1C"/>
      <name val="Calibri"/>
      <family val="2"/>
      <scheme val="minor"/>
    </font>
    <font>
      <b/>
      <sz val="9"/>
      <color rgb="FFFFFFFF"/>
      <name val="Calibri"/>
      <family val="2"/>
      <scheme val="minor"/>
    </font>
    <font>
      <b/>
      <sz val="9"/>
      <color rgb="FFB71C1C"/>
      <name val="Calibri"/>
      <family val="2"/>
      <scheme val="minor"/>
    </font>
    <font>
      <b/>
      <sz val="10"/>
      <color rgb="FFFFD600"/>
      <name val="Calibri"/>
      <family val="2"/>
      <scheme val="minor"/>
    </font>
    <font>
      <b/>
      <sz val="12"/>
      <color rgb="FFFFD600"/>
      <name val="Calibri"/>
      <family val="2"/>
      <scheme val="minor"/>
    </font>
    <font>
      <b/>
      <sz val="12"/>
      <color rgb="FFB71C1C"/>
      <name val="Calibri"/>
      <family val="2"/>
      <scheme val="minor"/>
    </font>
    <font>
      <sz val="11"/>
      <color rgb="FFFFFFFF"/>
      <name val="Calibri"/>
      <family val="2"/>
      <scheme val="minor"/>
    </font>
    <font>
      <sz val="10"/>
      <color rgb="FFFFFFFF"/>
      <name val="Calibri"/>
      <family val="2"/>
      <scheme val="minor"/>
    </font>
    <font>
      <b/>
      <sz val="9"/>
      <color rgb="FF999999"/>
      <name val="Calibri"/>
      <family val="2"/>
      <scheme val="minor"/>
    </font>
    <font>
      <sz val="9"/>
      <color rgb="FF999999"/>
      <name val="Calibri"/>
      <family val="2"/>
      <scheme val="minor"/>
    </font>
    <font>
      <sz val="9"/>
      <color indexed="81"/>
      <name val="Tahoma"/>
      <charset val="1"/>
    </font>
    <font>
      <b/>
      <sz val="9"/>
      <color indexed="81"/>
      <name val="Tahoma"/>
      <charset val="1"/>
    </font>
    <font>
      <sz val="9"/>
      <color rgb="FF666666"/>
      <name val="Calibri"/>
      <family val="2"/>
      <scheme val="minor"/>
    </font>
    <font>
      <b/>
      <sz val="10"/>
      <color rgb="FFCCCCCC"/>
      <name val="Calibri"/>
      <family val="2"/>
      <scheme val="minor"/>
    </font>
    <font>
      <b/>
      <sz val="14"/>
      <color rgb="FFFFFFFF"/>
      <name val="Calibri"/>
      <family val="2"/>
      <scheme val="minor"/>
    </font>
    <font>
      <b/>
      <sz val="16"/>
      <color rgb="FFFFD600"/>
      <name val="Calibri"/>
      <family val="2"/>
      <scheme val="minor"/>
    </font>
    <font>
      <b/>
      <sz val="14"/>
      <color rgb="FF00C853"/>
      <name val="Calibri"/>
      <family val="2"/>
      <scheme val="minor"/>
    </font>
    <font>
      <b/>
      <sz val="14"/>
      <color rgb="FFFFB300"/>
      <name val="Calibri"/>
      <family val="2"/>
      <scheme val="minor"/>
    </font>
    <font>
      <b/>
      <sz val="14"/>
      <color rgb="FFFF5252"/>
      <name val="Calibri"/>
      <family val="2"/>
      <scheme val="minor"/>
    </font>
    <font>
      <b/>
      <sz val="10"/>
      <color rgb="FF000000"/>
      <name val="Consolas"/>
    </font>
    <font>
      <sz val="10"/>
      <color rgb="FF0D4D1A"/>
      <name val="Calibri"/>
      <family val="2"/>
      <scheme val="minor"/>
    </font>
    <font>
      <sz val="10"/>
      <color rgb="FFB71C1C"/>
      <name val="Calibri"/>
      <family val="2"/>
      <scheme val="minor"/>
    </font>
    <font>
      <b/>
      <sz val="10"/>
      <color rgb="FFB71C1C"/>
      <name val="Calibri"/>
      <family val="2"/>
      <scheme val="minor"/>
    </font>
    <font>
      <b/>
      <sz val="10"/>
      <color theme="1"/>
      <name val="Consolas"/>
    </font>
    <font>
      <sz val="10"/>
      <color rgb="FFE65100"/>
      <name val="Calibri"/>
      <family val="2"/>
      <scheme val="minor"/>
    </font>
    <font>
      <b/>
      <sz val="10"/>
      <color rgb="FF0D4D1A"/>
      <name val="Consolas"/>
    </font>
    <font>
      <b/>
      <sz val="10"/>
      <color rgb="FFE65100"/>
      <name val="Calibri"/>
      <family val="2"/>
      <scheme val="minor"/>
    </font>
    <font>
      <b/>
      <sz val="10"/>
      <color theme="1"/>
      <name val="Calibri"/>
      <family val="2"/>
      <scheme val="minor"/>
    </font>
    <font>
      <b/>
      <sz val="9"/>
      <color rgb="FFFFD600"/>
      <name val="Calibri"/>
      <family val="2"/>
      <scheme val="minor"/>
    </font>
    <font>
      <b/>
      <sz val="10"/>
      <color rgb="FF00C853"/>
      <name val="Calibri"/>
      <family val="2"/>
      <scheme val="minor"/>
    </font>
    <font>
      <b/>
      <sz val="10"/>
      <color rgb="FFFF5252"/>
      <name val="Calibri"/>
      <family val="2"/>
      <scheme val="minor"/>
    </font>
    <font>
      <b/>
      <sz val="14"/>
      <color rgb="FFFFD600"/>
      <name val="Calibri"/>
      <family val="2"/>
      <scheme val="minor"/>
    </font>
    <font>
      <b/>
      <sz val="10"/>
      <color rgb="FF0A3D6E"/>
      <name val="Consolas"/>
    </font>
    <font>
      <sz val="9"/>
      <color rgb="FF000000"/>
      <name val="Consolas"/>
    </font>
    <font>
      <sz val="9"/>
      <color rgb="FF333333"/>
      <name val="Consolas"/>
    </font>
    <font>
      <b/>
      <sz val="10"/>
      <color rgb="FFB71C1C"/>
      <name val="Consolas"/>
    </font>
    <font>
      <b/>
      <sz val="10"/>
      <color rgb="FFE65100"/>
      <name val="Consolas"/>
    </font>
    <font>
      <b/>
      <sz val="10"/>
      <color rgb="FF4A148C"/>
      <name val="Consolas"/>
    </font>
  </fonts>
  <fills count="58">
    <fill>
      <patternFill patternType="none"/>
    </fill>
    <fill>
      <patternFill patternType="gray125"/>
    </fill>
    <fill>
      <patternFill patternType="solid">
        <fgColor rgb="FFFFFFFF"/>
      </patternFill>
    </fill>
    <fill>
      <patternFill patternType="solid">
        <fgColor rgb="FF0D0D1A"/>
      </patternFill>
    </fill>
    <fill>
      <patternFill patternType="solid">
        <fgColor rgb="FF1A1A2E"/>
      </patternFill>
    </fill>
    <fill>
      <patternFill patternType="solid">
        <fgColor rgb="FFF5F5F5"/>
      </patternFill>
    </fill>
    <fill>
      <patternFill patternType="solid">
        <fgColor rgb="FFFFFFF0"/>
      </patternFill>
    </fill>
    <fill>
      <patternFill patternType="solid">
        <fgColor rgb="FF2D2D44"/>
      </patternFill>
    </fill>
    <fill>
      <patternFill patternType="solid">
        <fgColor rgb="FFD4A843"/>
      </patternFill>
    </fill>
    <fill>
      <patternFill patternType="solid">
        <fgColor rgb="FFCC3333"/>
      </patternFill>
    </fill>
    <fill>
      <patternFill patternType="solid">
        <fgColor rgb="FF228B22"/>
      </patternFill>
    </fill>
    <fill>
      <patternFill patternType="solid">
        <fgColor rgb="FF0D0D1A"/>
        <bgColor indexed="64"/>
      </patternFill>
    </fill>
    <fill>
      <patternFill patternType="solid">
        <fgColor rgb="FF1A1A2E"/>
        <bgColor indexed="64"/>
      </patternFill>
    </fill>
    <fill>
      <patternFill patternType="solid">
        <fgColor rgb="FFF5F5F5"/>
        <bgColor indexed="64"/>
      </patternFill>
    </fill>
    <fill>
      <patternFill patternType="solid">
        <fgColor rgb="FFFFFFF0"/>
        <bgColor indexed="64"/>
      </patternFill>
    </fill>
    <fill>
      <patternFill patternType="solid">
        <fgColor rgb="FF2D2D44"/>
        <bgColor indexed="64"/>
      </patternFill>
    </fill>
    <fill>
      <patternFill patternType="solid">
        <fgColor rgb="FFD4A843"/>
        <bgColor indexed="64"/>
      </patternFill>
    </fill>
    <fill>
      <patternFill patternType="solid">
        <fgColor rgb="FFCC3333"/>
        <bgColor indexed="64"/>
      </patternFill>
    </fill>
    <fill>
      <patternFill patternType="solid">
        <fgColor rgb="FFFFF0F0"/>
        <bgColor indexed="64"/>
      </patternFill>
    </fill>
    <fill>
      <patternFill patternType="solid">
        <fgColor rgb="FF8B0000"/>
        <bgColor indexed="64"/>
      </patternFill>
    </fill>
    <fill>
      <patternFill patternType="solid">
        <fgColor rgb="FF1A0000"/>
        <bgColor indexed="64"/>
      </patternFill>
    </fill>
    <fill>
      <patternFill patternType="solid">
        <fgColor rgb="FF333333"/>
        <bgColor indexed="64"/>
      </patternFill>
    </fill>
    <fill>
      <patternFill patternType="solid">
        <fgColor rgb="FF1A1A1A"/>
        <bgColor indexed="64"/>
      </patternFill>
    </fill>
    <fill>
      <patternFill patternType="solid">
        <fgColor rgb="FF4A0000"/>
        <bgColor indexed="64"/>
      </patternFill>
    </fill>
    <fill>
      <patternFill patternType="solid">
        <fgColor rgb="FF141428"/>
        <bgColor indexed="64"/>
      </patternFill>
    </fill>
    <fill>
      <patternFill patternType="solid">
        <fgColor rgb="FFF5F0E1"/>
        <bgColor indexed="64"/>
      </patternFill>
    </fill>
    <fill>
      <patternFill patternType="solid">
        <fgColor rgb="FF1A1A4E"/>
        <bgColor indexed="64"/>
      </patternFill>
    </fill>
    <fill>
      <patternFill patternType="solid">
        <fgColor rgb="FF2A0A0A"/>
        <bgColor indexed="64"/>
      </patternFill>
    </fill>
    <fill>
      <patternFill patternType="solid">
        <fgColor rgb="FFD9E2F3"/>
        <bgColor indexed="64"/>
      </patternFill>
    </fill>
    <fill>
      <patternFill patternType="solid">
        <fgColor rgb="FF2F5496"/>
        <bgColor indexed="64"/>
      </patternFill>
    </fill>
    <fill>
      <patternFill patternType="solid">
        <fgColor rgb="FFE2EFDA"/>
        <bgColor indexed="64"/>
      </patternFill>
    </fill>
    <fill>
      <patternFill patternType="solid">
        <fgColor rgb="FFFFF2CC"/>
        <bgColor indexed="64"/>
      </patternFill>
    </fill>
    <fill>
      <patternFill patternType="solid">
        <fgColor rgb="FFD6DCE4"/>
        <bgColor indexed="64"/>
      </patternFill>
    </fill>
    <fill>
      <patternFill patternType="solid">
        <fgColor rgb="FF7030A0"/>
        <bgColor indexed="64"/>
      </patternFill>
    </fill>
    <fill>
      <patternFill patternType="solid">
        <fgColor rgb="FFF4EAFB"/>
        <bgColor indexed="64"/>
      </patternFill>
    </fill>
    <fill>
      <patternFill patternType="solid">
        <fgColor rgb="FF1F3864"/>
        <bgColor indexed="64"/>
      </patternFill>
    </fill>
    <fill>
      <patternFill patternType="solid">
        <fgColor rgb="FFD6E4F7"/>
        <bgColor indexed="64"/>
      </patternFill>
    </fill>
    <fill>
      <patternFill patternType="solid">
        <fgColor rgb="FF1A7431"/>
        <bgColor indexed="64"/>
      </patternFill>
    </fill>
    <fill>
      <patternFill patternType="solid">
        <fgColor rgb="FFC00000"/>
        <bgColor indexed="64"/>
      </patternFill>
    </fill>
    <fill>
      <patternFill patternType="solid">
        <fgColor rgb="FFFCE4D6"/>
        <bgColor indexed="64"/>
      </patternFill>
    </fill>
    <fill>
      <patternFill patternType="solid">
        <fgColor rgb="FF243F60"/>
        <bgColor indexed="64"/>
      </patternFill>
    </fill>
    <fill>
      <patternFill patternType="solid">
        <fgColor rgb="FF7B2C9E"/>
        <bgColor indexed="64"/>
      </patternFill>
    </fill>
    <fill>
      <patternFill patternType="solid">
        <fgColor rgb="FF833C00"/>
        <bgColor indexed="64"/>
      </patternFill>
    </fill>
    <fill>
      <patternFill patternType="solid">
        <fgColor rgb="FFFFFACD"/>
        <bgColor indexed="64"/>
      </patternFill>
    </fill>
    <fill>
      <patternFill patternType="solid">
        <fgColor rgb="FFFFFFFF"/>
        <bgColor indexed="64"/>
      </patternFill>
    </fill>
    <fill>
      <patternFill patternType="solid">
        <fgColor rgb="FF1B1B1B"/>
        <bgColor indexed="64"/>
      </patternFill>
    </fill>
    <fill>
      <patternFill patternType="solid">
        <fgColor rgb="FF0D4D1A"/>
        <bgColor indexed="64"/>
      </patternFill>
    </fill>
    <fill>
      <patternFill patternType="solid">
        <fgColor rgb="FFE8F5E9"/>
        <bgColor indexed="64"/>
      </patternFill>
    </fill>
    <fill>
      <patternFill patternType="solid">
        <fgColor rgb="FF0A3D6E"/>
        <bgColor indexed="64"/>
      </patternFill>
    </fill>
    <fill>
      <patternFill patternType="solid">
        <fgColor rgb="FFE3F2FD"/>
        <bgColor indexed="64"/>
      </patternFill>
    </fill>
    <fill>
      <patternFill patternType="solid">
        <fgColor rgb="FFE65100"/>
        <bgColor indexed="64"/>
      </patternFill>
    </fill>
    <fill>
      <patternFill patternType="solid">
        <fgColor rgb="FFFFF3E0"/>
        <bgColor indexed="64"/>
      </patternFill>
    </fill>
    <fill>
      <patternFill patternType="solid">
        <fgColor rgb="FFB71C1C"/>
        <bgColor indexed="64"/>
      </patternFill>
    </fill>
    <fill>
      <patternFill patternType="solid">
        <fgColor rgb="FFFFEBEE"/>
        <bgColor indexed="64"/>
      </patternFill>
    </fill>
    <fill>
      <patternFill patternType="solid">
        <fgColor rgb="FF4A148C"/>
        <bgColor indexed="64"/>
      </patternFill>
    </fill>
    <fill>
      <patternFill patternType="solid">
        <fgColor rgb="FFF3E5F5"/>
        <bgColor indexed="64"/>
      </patternFill>
    </fill>
    <fill>
      <patternFill patternType="solid">
        <fgColor rgb="FF212121"/>
        <bgColor indexed="64"/>
      </patternFill>
    </fill>
    <fill>
      <patternFill patternType="solid">
        <fgColor rgb="FF2A2A2A"/>
        <bgColor indexed="64"/>
      </patternFill>
    </fill>
  </fills>
  <borders count="72">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CCCCCC"/>
      </left>
      <right style="thin">
        <color auto="1"/>
      </right>
      <top style="thin">
        <color rgb="FFCCCCCC"/>
      </top>
      <bottom style="thin">
        <color rgb="FFCCCCCC"/>
      </bottom>
      <diagonal/>
    </border>
    <border>
      <left style="thin">
        <color rgb="FFCCCCCC"/>
      </left>
      <right/>
      <top style="thin">
        <color rgb="FFCCCCCC"/>
      </top>
      <bottom/>
      <diagonal/>
    </border>
    <border>
      <left/>
      <right/>
      <top/>
      <bottom style="thin">
        <color rgb="FFCCCCCC"/>
      </bottom>
      <diagonal/>
    </border>
    <border>
      <left style="thin">
        <color rgb="FFCCCCCC"/>
      </left>
      <right/>
      <top/>
      <bottom/>
      <diagonal/>
    </border>
    <border>
      <left style="thin">
        <color rgb="FFCCCCCC"/>
      </left>
      <right style="thin">
        <color rgb="FFCCCCCC"/>
      </right>
      <top style="thin">
        <color rgb="FFCCCCCC"/>
      </top>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right style="thin">
        <color rgb="FFCCCCCC"/>
      </right>
      <top/>
      <bottom/>
      <diagonal/>
    </border>
    <border>
      <left style="thin">
        <color auto="1"/>
      </left>
      <right style="thin">
        <color rgb="FFCCCCCC"/>
      </right>
      <top style="thin">
        <color rgb="FFCCCCCC"/>
      </top>
      <bottom style="thin">
        <color rgb="FFCCCCCC"/>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style="thin">
        <color rgb="FFCCCCCC"/>
      </bottom>
      <diagonal/>
    </border>
    <border>
      <left style="thin">
        <color rgb="FFDDDDDD"/>
      </left>
      <right style="thin">
        <color rgb="FFDDDDDD"/>
      </right>
      <top style="thin">
        <color rgb="FFDDDDDD"/>
      </top>
      <bottom style="thin">
        <color rgb="FFCCCCCC"/>
      </bottom>
      <diagonal/>
    </border>
    <border>
      <left style="thin">
        <color rgb="FFDDDDDD"/>
      </left>
      <right/>
      <top style="thin">
        <color rgb="FFDDDDDD"/>
      </top>
      <bottom style="thin">
        <color rgb="FFCCCCCC"/>
      </bottom>
      <diagonal/>
    </border>
    <border>
      <left/>
      <right style="thin">
        <color rgb="FFDDDDDD"/>
      </right>
      <top style="thin">
        <color rgb="FFCCCCCC"/>
      </top>
      <bottom style="thin">
        <color rgb="FFDDDDDD"/>
      </bottom>
      <diagonal/>
    </border>
    <border>
      <left style="thin">
        <color rgb="FFDDDDDD"/>
      </left>
      <right style="thin">
        <color rgb="FFDDDDDD"/>
      </right>
      <top style="thin">
        <color rgb="FFCCCCCC"/>
      </top>
      <bottom style="thin">
        <color rgb="FFDDDDDD"/>
      </bottom>
      <diagonal/>
    </border>
    <border>
      <left style="thin">
        <color rgb="FFDDDDDD"/>
      </left>
      <right/>
      <top style="thin">
        <color rgb="FFCCCCCC"/>
      </top>
      <bottom style="thin">
        <color rgb="FFDDDDDD"/>
      </bottom>
      <diagonal/>
    </border>
    <border>
      <left style="thin">
        <color rgb="FFCCCCCC"/>
      </left>
      <right style="thin">
        <color rgb="FFDDDDDD"/>
      </right>
      <top style="thin">
        <color rgb="FFCCCCCC"/>
      </top>
      <bottom style="thin">
        <color rgb="FFDDDDDD"/>
      </bottom>
      <diagonal/>
    </border>
    <border>
      <left style="thin">
        <color rgb="FFCCCCCC"/>
      </left>
      <right style="thin">
        <color rgb="FFDDDDDD"/>
      </right>
      <top style="thin">
        <color rgb="FFDDDDDD"/>
      </top>
      <bottom style="thin">
        <color rgb="FFDDDDDD"/>
      </bottom>
      <diagonal/>
    </border>
    <border>
      <left style="thin">
        <color rgb="FFCCCCCC"/>
      </left>
      <right style="thin">
        <color rgb="FFDDDDDD"/>
      </right>
      <top style="thin">
        <color rgb="FFDDDDDD"/>
      </top>
      <bottom style="thin">
        <color rgb="FFCCCCCC"/>
      </bottom>
      <diagonal/>
    </border>
    <border>
      <left style="thin">
        <color rgb="FFDDDDDD"/>
      </left>
      <right style="thin">
        <color rgb="FFCCCCCC"/>
      </right>
      <top style="thin">
        <color rgb="FFCCCCCC"/>
      </top>
      <bottom style="thin">
        <color rgb="FFDDDDDD"/>
      </bottom>
      <diagonal/>
    </border>
    <border>
      <left style="thin">
        <color rgb="FFDDDDDD"/>
      </left>
      <right style="thin">
        <color rgb="FFCCCCCC"/>
      </right>
      <top style="thin">
        <color rgb="FFDDDDDD"/>
      </top>
      <bottom style="thin">
        <color rgb="FFDDDDDD"/>
      </bottom>
      <diagonal/>
    </border>
    <border>
      <left style="thin">
        <color rgb="FFDDDDDD"/>
      </left>
      <right style="thin">
        <color rgb="FFCCCCCC"/>
      </right>
      <top style="thin">
        <color rgb="FFDDDDDD"/>
      </top>
      <bottom style="thin">
        <color rgb="FFCCCCCC"/>
      </bottom>
      <diagonal/>
    </border>
    <border>
      <left/>
      <right style="medium">
        <color rgb="FFD4A843"/>
      </right>
      <top/>
      <bottom/>
      <diagonal/>
    </border>
    <border>
      <left style="thin">
        <color rgb="FFCCCCCC"/>
      </left>
      <right style="thin">
        <color rgb="FFCCCCCC"/>
      </right>
      <top style="thin">
        <color rgb="FFCCCCCC"/>
      </top>
      <bottom style="thin">
        <color auto="1"/>
      </bottom>
      <diagonal/>
    </border>
    <border>
      <left/>
      <right/>
      <top/>
      <bottom style="thin">
        <color rgb="FFD4A843"/>
      </bottom>
      <diagonal/>
    </border>
    <border>
      <left/>
      <right style="thin">
        <color rgb="FFCCCCCC"/>
      </right>
      <top style="thin">
        <color rgb="FFCCCCCC"/>
      </top>
      <bottom style="thin">
        <color rgb="FFD4A843"/>
      </bottom>
      <diagonal/>
    </border>
    <border>
      <left style="thin">
        <color rgb="FFCCCCCC"/>
      </left>
      <right style="thin">
        <color rgb="FFCCCCCC"/>
      </right>
      <top style="thin">
        <color rgb="FFCCCCCC"/>
      </top>
      <bottom style="thin">
        <color rgb="FFD4A843"/>
      </bottom>
      <diagonal/>
    </border>
    <border>
      <left style="thin">
        <color rgb="FFCCCCCC"/>
      </left>
      <right/>
      <top style="thin">
        <color rgb="FFCCCCCC"/>
      </top>
      <bottom style="thin">
        <color rgb="FFD4A843"/>
      </bottom>
      <diagonal/>
    </border>
    <border>
      <left style="thin">
        <color rgb="FFCCCCCC"/>
      </left>
      <right style="thin">
        <color rgb="FFCCCCCC"/>
      </right>
      <top style="thin">
        <color auto="1"/>
      </top>
      <bottom style="thin">
        <color rgb="FFCCCCCC"/>
      </bottom>
      <diagonal/>
    </border>
    <border>
      <left/>
      <right style="thin">
        <color rgb="FFCCCCCC"/>
      </right>
      <top style="thin">
        <color rgb="FFD4A843"/>
      </top>
      <bottom style="thin">
        <color rgb="FFCCCCCC"/>
      </bottom>
      <diagonal/>
    </border>
    <border>
      <left style="thin">
        <color rgb="FFCCCCCC"/>
      </left>
      <right style="thin">
        <color rgb="FFCCCCCC"/>
      </right>
      <top style="thin">
        <color rgb="FFD4A843"/>
      </top>
      <bottom style="thin">
        <color rgb="FFCCCCCC"/>
      </bottom>
      <diagonal/>
    </border>
    <border>
      <left style="thin">
        <color rgb="FFCCCCCC"/>
      </left>
      <right/>
      <top style="thin">
        <color rgb="FFD4A843"/>
      </top>
      <bottom style="thin">
        <color rgb="FFCCCCCC"/>
      </bottom>
      <diagonal/>
    </border>
    <border>
      <left style="thin">
        <color rgb="FFD4A843"/>
      </left>
      <right style="thin">
        <color rgb="FFCCCCCC"/>
      </right>
      <top style="thin">
        <color rgb="FFD4A843"/>
      </top>
      <bottom style="thin">
        <color rgb="FFCCCCCC"/>
      </bottom>
      <diagonal/>
    </border>
    <border>
      <left style="thin">
        <color rgb="FFD4A843"/>
      </left>
      <right style="thin">
        <color rgb="FFCCCCCC"/>
      </right>
      <top style="thin">
        <color rgb="FFCCCCCC"/>
      </top>
      <bottom style="thin">
        <color rgb="FFCCCCCC"/>
      </bottom>
      <diagonal/>
    </border>
    <border>
      <left style="thin">
        <color rgb="FFD4A843"/>
      </left>
      <right style="thin">
        <color rgb="FFCCCCCC"/>
      </right>
      <top style="thin">
        <color rgb="FFCCCCCC"/>
      </top>
      <bottom style="thin">
        <color rgb="FFD4A843"/>
      </bottom>
      <diagonal/>
    </border>
    <border>
      <left style="thin">
        <color rgb="FFCCCCCC"/>
      </left>
      <right style="thin">
        <color rgb="FFD4A843"/>
      </right>
      <top style="thin">
        <color rgb="FFD4A843"/>
      </top>
      <bottom style="thin">
        <color rgb="FFCCCCCC"/>
      </bottom>
      <diagonal/>
    </border>
    <border>
      <left style="thin">
        <color rgb="FFCCCCCC"/>
      </left>
      <right style="thin">
        <color rgb="FFD4A843"/>
      </right>
      <top style="thin">
        <color rgb="FFCCCCCC"/>
      </top>
      <bottom style="thin">
        <color rgb="FFCCCCCC"/>
      </bottom>
      <diagonal/>
    </border>
    <border>
      <left style="thin">
        <color rgb="FFCCCCCC"/>
      </left>
      <right style="thin">
        <color rgb="FFD4A843"/>
      </right>
      <top style="thin">
        <color rgb="FFCCCCCC"/>
      </top>
      <bottom style="thin">
        <color rgb="FFD4A843"/>
      </bottom>
      <diagonal/>
    </border>
    <border>
      <left style="thin">
        <color auto="1"/>
      </left>
      <right style="thin">
        <color rgb="FFCCCCCC"/>
      </right>
      <top style="thin">
        <color auto="1"/>
      </top>
      <bottom style="thin">
        <color rgb="FFCCCCCC"/>
      </bottom>
      <diagonal/>
    </border>
    <border>
      <left style="thin">
        <color auto="1"/>
      </left>
      <right style="thin">
        <color rgb="FFCCCCCC"/>
      </right>
      <top style="thin">
        <color rgb="FFCCCCCC"/>
      </top>
      <bottom style="thin">
        <color auto="1"/>
      </bottom>
      <diagonal/>
    </border>
    <border>
      <left style="thin">
        <color rgb="FFCCCCCC"/>
      </left>
      <right style="thin">
        <color auto="1"/>
      </right>
      <top style="thin">
        <color auto="1"/>
      </top>
      <bottom style="thin">
        <color rgb="FFCCCCCC"/>
      </bottom>
      <diagonal/>
    </border>
    <border>
      <left style="thin">
        <color rgb="FFCCCCCC"/>
      </left>
      <right style="thin">
        <color auto="1"/>
      </right>
      <top style="thin">
        <color rgb="FFCCCCCC"/>
      </top>
      <bottom style="thin">
        <color auto="1"/>
      </bottom>
      <diagonal/>
    </border>
    <border>
      <left/>
      <right/>
      <top/>
      <bottom style="thin">
        <color rgb="FFEEEEEE"/>
      </bottom>
      <diagonal/>
    </border>
    <border>
      <left/>
      <right/>
      <top style="thin">
        <color rgb="FFEEEEEE"/>
      </top>
      <bottom style="thin">
        <color rgb="FFEEEEEE"/>
      </bottom>
      <diagonal/>
    </border>
    <border>
      <left/>
      <right/>
      <top style="thin">
        <color rgb="FFEEEEEE"/>
      </top>
      <bottom style="thin">
        <color rgb="FFD4A843"/>
      </bottom>
      <diagonal/>
    </border>
    <border>
      <left/>
      <right/>
      <top style="thin">
        <color rgb="FFD4A843"/>
      </top>
      <bottom/>
      <diagonal/>
    </border>
    <border>
      <left/>
      <right/>
      <top/>
      <bottom style="medium">
        <color rgb="FFD4A843"/>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style="medium">
        <color rgb="FF0000FF"/>
      </left>
      <right style="medium">
        <color rgb="FF0000FF"/>
      </right>
      <top style="thin">
        <color auto="1"/>
      </top>
      <bottom style="medium">
        <color auto="1"/>
      </bottom>
      <diagonal/>
    </border>
    <border>
      <left style="medium">
        <color rgb="FF0000FF"/>
      </left>
      <right style="medium">
        <color rgb="FF0000FF"/>
      </right>
      <top style="thin">
        <color auto="1"/>
      </top>
      <bottom style="thin">
        <color auto="1"/>
      </bottom>
      <diagonal/>
    </border>
  </borders>
  <cellStyleXfs count="1">
    <xf numFmtId="0" fontId="0" fillId="0" borderId="0"/>
  </cellStyleXfs>
  <cellXfs count="753">
    <xf numFmtId="0" fontId="0" fillId="0" borderId="0" xfId="0"/>
    <xf numFmtId="0" fontId="0" fillId="2" borderId="0" xfId="0" applyFill="1"/>
    <xf numFmtId="0" fontId="5" fillId="5" borderId="1" xfId="0" applyFont="1" applyFill="1" applyBorder="1" applyAlignment="1">
      <alignment vertical="top" wrapText="1"/>
    </xf>
    <xf numFmtId="0" fontId="3" fillId="6" borderId="1" xfId="0" applyFont="1" applyFill="1" applyBorder="1" applyAlignment="1">
      <alignment vertical="top" wrapText="1"/>
    </xf>
    <xf numFmtId="0" fontId="6" fillId="6" borderId="1" xfId="0" applyFont="1" applyFill="1" applyBorder="1" applyAlignment="1">
      <alignment vertical="top" wrapText="1"/>
    </xf>
    <xf numFmtId="0" fontId="8" fillId="8" borderId="1" xfId="0" applyFont="1" applyFill="1" applyBorder="1" applyAlignment="1">
      <alignment horizontal="center" vertical="center"/>
    </xf>
    <xf numFmtId="0" fontId="0" fillId="2" borderId="1" xfId="0" applyFill="1" applyBorder="1" applyAlignment="1">
      <alignment horizontal="center" vertical="center"/>
    </xf>
    <xf numFmtId="0" fontId="8" fillId="9" borderId="1" xfId="0" applyFont="1" applyFill="1" applyBorder="1" applyAlignment="1">
      <alignment horizontal="center" vertical="center"/>
    </xf>
    <xf numFmtId="0" fontId="1" fillId="0" borderId="0" xfId="0" applyFont="1"/>
    <xf numFmtId="0" fontId="8" fillId="10" borderId="1" xfId="0" applyFont="1" applyFill="1" applyBorder="1" applyAlignment="1">
      <alignment horizontal="center" vertical="center"/>
    </xf>
    <xf numFmtId="0" fontId="2" fillId="11" borderId="0" xfId="0" applyFont="1" applyFill="1" applyAlignment="1">
      <alignment horizontal="center"/>
    </xf>
    <xf numFmtId="0" fontId="0" fillId="11" borderId="0" xfId="0" applyFill="1"/>
    <xf numFmtId="0" fontId="3" fillId="11" borderId="0" xfId="0" applyFont="1" applyFill="1" applyAlignment="1">
      <alignment horizontal="center"/>
    </xf>
    <xf numFmtId="0" fontId="4" fillId="12" borderId="0" xfId="0" applyFont="1" applyFill="1"/>
    <xf numFmtId="0" fontId="4" fillId="12" borderId="0" xfId="0" applyFont="1" applyFill="1" applyAlignment="1">
      <alignment horizontal="left"/>
    </xf>
    <xf numFmtId="0" fontId="0" fillId="12" borderId="0" xfId="0" applyFill="1"/>
    <xf numFmtId="0" fontId="5" fillId="13" borderId="0" xfId="0" applyFont="1" applyFill="1"/>
    <xf numFmtId="0" fontId="3" fillId="14" borderId="0" xfId="0" applyFont="1" applyFill="1"/>
    <xf numFmtId="0" fontId="7" fillId="15" borderId="0" xfId="0" applyFont="1" applyFill="1"/>
    <xf numFmtId="0" fontId="7" fillId="15" borderId="0" xfId="0" applyFont="1" applyFill="1" applyAlignment="1">
      <alignment horizontal="left"/>
    </xf>
    <xf numFmtId="0" fontId="0" fillId="15" borderId="0" xfId="0" applyFill="1"/>
    <xf numFmtId="0" fontId="15" fillId="13" borderId="0" xfId="0" applyFont="1" applyFill="1"/>
    <xf numFmtId="0" fontId="16" fillId="13" borderId="0" xfId="0" applyFont="1" applyFill="1"/>
    <xf numFmtId="0" fontId="9" fillId="13" borderId="0" xfId="0" applyFont="1" applyFill="1"/>
    <xf numFmtId="0" fontId="3" fillId="14" borderId="2" xfId="0" applyFont="1" applyFill="1" applyBorder="1"/>
    <xf numFmtId="0" fontId="5" fillId="13" borderId="4" xfId="0" applyFont="1" applyFill="1" applyBorder="1"/>
    <xf numFmtId="0" fontId="3" fillId="14" borderId="4" xfId="0" applyFont="1" applyFill="1" applyBorder="1"/>
    <xf numFmtId="0" fontId="5" fillId="13" borderId="6" xfId="0" applyFont="1" applyFill="1" applyBorder="1"/>
    <xf numFmtId="0" fontId="3" fillId="14" borderId="5" xfId="0" applyFont="1" applyFill="1" applyBorder="1"/>
    <xf numFmtId="0" fontId="5" fillId="13" borderId="8" xfId="0" applyFont="1" applyFill="1" applyBorder="1"/>
    <xf numFmtId="0" fontId="3" fillId="14" borderId="3" xfId="0" applyFont="1" applyFill="1" applyBorder="1"/>
    <xf numFmtId="0" fontId="17" fillId="0" borderId="0" xfId="0" applyFont="1"/>
    <xf numFmtId="0" fontId="0" fillId="0" borderId="0" xfId="0" applyAlignment="1">
      <alignment vertical="top"/>
    </xf>
    <xf numFmtId="0" fontId="4" fillId="12" borderId="0" xfId="0" applyFont="1" applyFill="1" applyAlignment="1">
      <alignment horizontal="left" vertical="top"/>
    </xf>
    <xf numFmtId="0" fontId="0" fillId="12" borderId="0" xfId="0" applyFill="1" applyAlignment="1">
      <alignment vertical="top"/>
    </xf>
    <xf numFmtId="0" fontId="5" fillId="13" borderId="8" xfId="0" applyFont="1" applyFill="1" applyBorder="1" applyAlignment="1">
      <alignment vertical="top"/>
    </xf>
    <xf numFmtId="0" fontId="3" fillId="14" borderId="3" xfId="0" applyFont="1" applyFill="1" applyBorder="1" applyAlignment="1">
      <alignment vertical="top" wrapText="1"/>
    </xf>
    <xf numFmtId="0" fontId="0" fillId="0" borderId="2" xfId="0" applyBorder="1" applyAlignment="1">
      <alignment vertical="top"/>
    </xf>
    <xf numFmtId="0" fontId="7" fillId="15" borderId="0" xfId="0" applyFont="1" applyFill="1" applyAlignment="1">
      <alignment horizontal="left" vertical="top"/>
    </xf>
    <xf numFmtId="0" fontId="0" fillId="15" borderId="0" xfId="0" applyFill="1" applyAlignment="1">
      <alignment vertical="top"/>
    </xf>
    <xf numFmtId="0" fontId="8" fillId="16" borderId="8" xfId="0" applyFont="1" applyFill="1" applyBorder="1" applyAlignment="1">
      <alignment horizontal="center" vertical="top"/>
    </xf>
    <xf numFmtId="0" fontId="8" fillId="16" borderId="3" xfId="0" applyFont="1" applyFill="1" applyBorder="1" applyAlignment="1">
      <alignment horizontal="center" vertical="top"/>
    </xf>
    <xf numFmtId="0" fontId="3" fillId="14" borderId="3" xfId="0" applyFont="1" applyFill="1" applyBorder="1" applyAlignment="1">
      <alignment vertical="top"/>
    </xf>
    <xf numFmtId="0" fontId="0" fillId="0" borderId="4" xfId="0" applyBorder="1" applyAlignment="1">
      <alignment vertical="top"/>
    </xf>
    <xf numFmtId="0" fontId="5" fillId="13" borderId="10" xfId="0" applyFont="1" applyFill="1" applyBorder="1" applyAlignment="1">
      <alignment vertical="top"/>
    </xf>
    <xf numFmtId="0" fontId="3" fillId="14" borderId="14" xfId="0" applyFont="1" applyFill="1" applyBorder="1" applyAlignment="1">
      <alignment vertical="top" wrapText="1"/>
    </xf>
    <xf numFmtId="0" fontId="8" fillId="16" borderId="2" xfId="0" applyFont="1" applyFill="1" applyBorder="1" applyAlignment="1">
      <alignment horizontal="center" vertical="top"/>
    </xf>
    <xf numFmtId="0" fontId="3" fillId="14" borderId="2" xfId="0" applyFont="1" applyFill="1" applyBorder="1" applyAlignment="1">
      <alignment vertical="top" wrapText="1"/>
    </xf>
    <xf numFmtId="0" fontId="8" fillId="17" borderId="8" xfId="0" applyFont="1" applyFill="1" applyBorder="1" applyAlignment="1">
      <alignment horizontal="center" vertical="top"/>
    </xf>
    <xf numFmtId="0" fontId="8" fillId="17" borderId="2" xfId="0" applyFont="1" applyFill="1" applyBorder="1" applyAlignment="1">
      <alignment horizontal="center" vertical="top"/>
    </xf>
    <xf numFmtId="0" fontId="8" fillId="17" borderId="3" xfId="0" applyFont="1" applyFill="1" applyBorder="1" applyAlignment="1">
      <alignment horizontal="center" vertical="top"/>
    </xf>
    <xf numFmtId="0" fontId="13" fillId="0" borderId="8" xfId="0" applyFont="1" applyBorder="1" applyAlignment="1">
      <alignment horizontal="center" vertical="top"/>
    </xf>
    <xf numFmtId="0" fontId="16" fillId="13" borderId="11" xfId="0" applyFont="1" applyFill="1" applyBorder="1" applyAlignment="1">
      <alignment vertical="top"/>
    </xf>
    <xf numFmtId="0" fontId="9" fillId="13" borderId="12" xfId="0" applyFont="1" applyFill="1" applyBorder="1" applyAlignment="1">
      <alignment vertical="top"/>
    </xf>
    <xf numFmtId="0" fontId="9" fillId="13" borderId="13" xfId="0" applyFont="1" applyFill="1" applyBorder="1" applyAlignment="1">
      <alignment vertical="top"/>
    </xf>
    <xf numFmtId="0" fontId="17" fillId="14" borderId="0" xfId="0" applyFont="1" applyFill="1"/>
    <xf numFmtId="0" fontId="8" fillId="16" borderId="1" xfId="0" applyFont="1" applyFill="1" applyBorder="1" applyAlignment="1">
      <alignment horizontal="center"/>
    </xf>
    <xf numFmtId="0" fontId="18" fillId="16" borderId="1" xfId="0" applyFont="1" applyFill="1" applyBorder="1" applyAlignment="1">
      <alignment horizontal="center"/>
    </xf>
    <xf numFmtId="0" fontId="18" fillId="17" borderId="1" xfId="0" applyFont="1" applyFill="1" applyBorder="1" applyAlignment="1">
      <alignment horizontal="center"/>
    </xf>
    <xf numFmtId="0" fontId="5" fillId="13" borderId="1" xfId="0" applyFont="1" applyFill="1" applyBorder="1"/>
    <xf numFmtId="0" fontId="17" fillId="14" borderId="1" xfId="0" applyFont="1" applyFill="1" applyBorder="1"/>
    <xf numFmtId="164" fontId="17" fillId="14" borderId="1" xfId="0" applyNumberFormat="1" applyFont="1" applyFill="1" applyBorder="1"/>
    <xf numFmtId="0" fontId="20" fillId="14" borderId="1" xfId="0" applyFont="1" applyFill="1" applyBorder="1" applyAlignment="1">
      <alignment wrapText="1"/>
    </xf>
    <xf numFmtId="0" fontId="21" fillId="18" borderId="1" xfId="0" applyFont="1" applyFill="1" applyBorder="1" applyAlignment="1">
      <alignment wrapText="1"/>
    </xf>
    <xf numFmtId="0" fontId="22" fillId="15" borderId="0" xfId="0" applyFont="1" applyFill="1"/>
    <xf numFmtId="0" fontId="23" fillId="13" borderId="0" xfId="0" applyFont="1" applyFill="1"/>
    <xf numFmtId="0" fontId="23" fillId="13" borderId="6" xfId="0" applyFont="1" applyFill="1" applyBorder="1"/>
    <xf numFmtId="0" fontId="17" fillId="14" borderId="15" xfId="0" applyFont="1" applyFill="1" applyBorder="1"/>
    <xf numFmtId="0" fontId="23" fillId="13" borderId="1" xfId="0" applyFont="1" applyFill="1" applyBorder="1"/>
    <xf numFmtId="0" fontId="17" fillId="14" borderId="1" xfId="0" applyFont="1" applyFill="1" applyBorder="1" applyAlignment="1">
      <alignment wrapText="1"/>
    </xf>
    <xf numFmtId="0" fontId="29" fillId="18" borderId="0" xfId="0" applyFont="1" applyFill="1"/>
    <xf numFmtId="0" fontId="17" fillId="14" borderId="0" xfId="0" applyFont="1" applyFill="1" applyAlignment="1">
      <alignment horizontal="center"/>
    </xf>
    <xf numFmtId="0" fontId="25" fillId="13" borderId="0" xfId="0" applyFont="1" applyFill="1" applyAlignment="1">
      <alignment horizontal="right"/>
    </xf>
    <xf numFmtId="0" fontId="32" fillId="13" borderId="0" xfId="0" applyFont="1" applyFill="1"/>
    <xf numFmtId="2" fontId="25" fillId="13" borderId="0" xfId="0" applyNumberFormat="1" applyFont="1" applyFill="1" applyAlignment="1">
      <alignment horizontal="center"/>
    </xf>
    <xf numFmtId="0" fontId="5" fillId="13" borderId="1" xfId="0" applyFont="1" applyFill="1" applyBorder="1" applyAlignment="1">
      <alignment horizontal="center"/>
    </xf>
    <xf numFmtId="0" fontId="31" fillId="13" borderId="1" xfId="0" applyFont="1" applyFill="1" applyBorder="1"/>
    <xf numFmtId="2" fontId="31" fillId="14" borderId="1" xfId="0" applyNumberFormat="1" applyFont="1" applyFill="1" applyBorder="1" applyAlignment="1">
      <alignment horizontal="center"/>
    </xf>
    <xf numFmtId="0" fontId="3" fillId="14" borderId="1" xfId="0" applyFont="1" applyFill="1" applyBorder="1"/>
    <xf numFmtId="0" fontId="18" fillId="16" borderId="6" xfId="0" applyFont="1" applyFill="1" applyBorder="1" applyAlignment="1">
      <alignment horizontal="center"/>
    </xf>
    <xf numFmtId="2" fontId="17" fillId="14" borderId="1" xfId="0" applyNumberFormat="1" applyFont="1" applyFill="1" applyBorder="1" applyAlignment="1">
      <alignment horizontal="center"/>
    </xf>
    <xf numFmtId="2" fontId="17" fillId="13" borderId="1" xfId="0" applyNumberFormat="1" applyFont="1" applyFill="1" applyBorder="1" applyAlignment="1">
      <alignment horizontal="center"/>
    </xf>
    <xf numFmtId="0" fontId="25" fillId="13" borderId="1" xfId="0" applyFont="1" applyFill="1" applyBorder="1" applyAlignment="1">
      <alignment horizontal="right"/>
    </xf>
    <xf numFmtId="2" fontId="25" fillId="13" borderId="1" xfId="0" applyNumberFormat="1" applyFont="1" applyFill="1" applyBorder="1" applyAlignment="1">
      <alignment horizontal="center"/>
    </xf>
    <xf numFmtId="0" fontId="0" fillId="0" borderId="1" xfId="0" applyBorder="1"/>
    <xf numFmtId="2" fontId="19" fillId="13" borderId="1" xfId="0" applyNumberFormat="1" applyFont="1" applyFill="1" applyBorder="1" applyAlignment="1">
      <alignment horizontal="center"/>
    </xf>
    <xf numFmtId="0" fontId="33" fillId="16" borderId="1" xfId="0" applyFont="1" applyFill="1" applyBorder="1" applyAlignment="1">
      <alignment horizontal="center"/>
    </xf>
    <xf numFmtId="0" fontId="34" fillId="13" borderId="1" xfId="0" applyFont="1" applyFill="1" applyBorder="1"/>
    <xf numFmtId="0" fontId="35" fillId="15" borderId="1" xfId="0" applyFont="1" applyFill="1" applyBorder="1"/>
    <xf numFmtId="0" fontId="36" fillId="15" borderId="1" xfId="0" applyFont="1" applyFill="1" applyBorder="1"/>
    <xf numFmtId="2" fontId="39" fillId="15" borderId="1" xfId="0" applyNumberFormat="1" applyFont="1" applyFill="1" applyBorder="1" applyAlignment="1">
      <alignment horizontal="center"/>
    </xf>
    <xf numFmtId="0" fontId="37" fillId="11" borderId="1" xfId="0" applyFont="1" applyFill="1" applyBorder="1"/>
    <xf numFmtId="0" fontId="12" fillId="11" borderId="1" xfId="0" applyFont="1" applyFill="1" applyBorder="1"/>
    <xf numFmtId="2" fontId="37" fillId="11" borderId="1" xfId="0" applyNumberFormat="1" applyFont="1" applyFill="1" applyBorder="1" applyAlignment="1">
      <alignment horizontal="center"/>
    </xf>
    <xf numFmtId="0" fontId="35" fillId="11" borderId="1" xfId="0" applyFont="1" applyFill="1" applyBorder="1"/>
    <xf numFmtId="0" fontId="39" fillId="11" borderId="1" xfId="0" applyFont="1" applyFill="1" applyBorder="1" applyAlignment="1">
      <alignment horizontal="center"/>
    </xf>
    <xf numFmtId="0" fontId="17" fillId="13" borderId="6" xfId="0" applyFont="1" applyFill="1" applyBorder="1"/>
    <xf numFmtId="0" fontId="17" fillId="13" borderId="7" xfId="0" applyFont="1" applyFill="1" applyBorder="1"/>
    <xf numFmtId="0" fontId="17" fillId="13" borderId="1" xfId="0" applyFont="1" applyFill="1" applyBorder="1"/>
    <xf numFmtId="2" fontId="17" fillId="13" borderId="1" xfId="0" applyNumberFormat="1" applyFont="1" applyFill="1" applyBorder="1"/>
    <xf numFmtId="2" fontId="17" fillId="13" borderId="6" xfId="0" applyNumberFormat="1" applyFont="1" applyFill="1" applyBorder="1"/>
    <xf numFmtId="0" fontId="29" fillId="18" borderId="1" xfId="0" applyFont="1" applyFill="1" applyBorder="1"/>
    <xf numFmtId="2" fontId="29" fillId="18" borderId="1" xfId="0" applyNumberFormat="1" applyFont="1" applyFill="1" applyBorder="1"/>
    <xf numFmtId="2" fontId="29" fillId="18" borderId="6" xfId="0" applyNumberFormat="1" applyFont="1" applyFill="1" applyBorder="1"/>
    <xf numFmtId="0" fontId="38" fillId="13" borderId="1" xfId="0" applyFont="1" applyFill="1" applyBorder="1"/>
    <xf numFmtId="0" fontId="25" fillId="14" borderId="3" xfId="0" applyFont="1" applyFill="1" applyBorder="1"/>
    <xf numFmtId="2" fontId="26" fillId="14" borderId="4" xfId="0" applyNumberFormat="1" applyFont="1" applyFill="1" applyBorder="1" applyAlignment="1">
      <alignment horizontal="center"/>
    </xf>
    <xf numFmtId="0" fontId="27" fillId="13" borderId="8" xfId="0" applyFont="1" applyFill="1" applyBorder="1"/>
    <xf numFmtId="0" fontId="27" fillId="14" borderId="3" xfId="0" applyFont="1" applyFill="1" applyBorder="1"/>
    <xf numFmtId="0" fontId="28" fillId="13" borderId="6" xfId="0" applyFont="1" applyFill="1" applyBorder="1"/>
    <xf numFmtId="0" fontId="28" fillId="14" borderId="5" xfId="0" applyFont="1" applyFill="1" applyBorder="1"/>
    <xf numFmtId="0" fontId="8" fillId="17" borderId="8" xfId="0" applyFont="1" applyFill="1" applyBorder="1"/>
    <xf numFmtId="0" fontId="29" fillId="18" borderId="3" xfId="0" applyFont="1" applyFill="1" applyBorder="1"/>
    <xf numFmtId="0" fontId="3" fillId="14" borderId="5" xfId="0" applyFont="1" applyFill="1" applyBorder="1" applyAlignment="1">
      <alignment horizontal="center"/>
    </xf>
    <xf numFmtId="0" fontId="23" fillId="13" borderId="2" xfId="0" applyFont="1" applyFill="1" applyBorder="1"/>
    <xf numFmtId="0" fontId="23" fillId="13" borderId="4" xfId="0" applyFont="1" applyFill="1" applyBorder="1"/>
    <xf numFmtId="0" fontId="23" fillId="13" borderId="8" xfId="0" applyFont="1" applyFill="1" applyBorder="1"/>
    <xf numFmtId="0" fontId="3" fillId="14" borderId="3" xfId="0" applyFont="1" applyFill="1" applyBorder="1" applyAlignment="1">
      <alignment horizontal="center"/>
    </xf>
    <xf numFmtId="0" fontId="3" fillId="14" borderId="1" xfId="0" applyFont="1" applyFill="1" applyBorder="1" applyAlignment="1">
      <alignment wrapText="1"/>
    </xf>
    <xf numFmtId="2" fontId="26" fillId="14" borderId="5" xfId="0" applyNumberFormat="1" applyFont="1" applyFill="1" applyBorder="1" applyAlignment="1">
      <alignment horizontal="center"/>
    </xf>
    <xf numFmtId="0" fontId="3" fillId="14" borderId="0" xfId="0" applyFont="1" applyFill="1" applyAlignment="1">
      <alignment horizontal="center"/>
    </xf>
    <xf numFmtId="0" fontId="3" fillId="12" borderId="0" xfId="0" applyFont="1" applyFill="1"/>
    <xf numFmtId="0" fontId="23" fillId="12" borderId="0" xfId="0" applyFont="1" applyFill="1"/>
    <xf numFmtId="0" fontId="3" fillId="12" borderId="0" xfId="0" applyFont="1" applyFill="1" applyAlignment="1">
      <alignment horizontal="center"/>
    </xf>
    <xf numFmtId="0" fontId="3" fillId="15" borderId="0" xfId="0" applyFont="1" applyFill="1"/>
    <xf numFmtId="0" fontId="23" fillId="15" borderId="0" xfId="0" applyFont="1" applyFill="1"/>
    <xf numFmtId="0" fontId="3" fillId="15" borderId="0" xfId="0" applyFont="1" applyFill="1" applyAlignment="1">
      <alignment horizontal="center"/>
    </xf>
    <xf numFmtId="0" fontId="40" fillId="13" borderId="1" xfId="0" applyFont="1" applyFill="1" applyBorder="1"/>
    <xf numFmtId="0" fontId="8" fillId="17" borderId="0" xfId="0" applyFont="1" applyFill="1" applyAlignment="1">
      <alignment horizontal="left"/>
    </xf>
    <xf numFmtId="0" fontId="0" fillId="17" borderId="0" xfId="0" applyFill="1"/>
    <xf numFmtId="0" fontId="39" fillId="17" borderId="0" xfId="0" applyFont="1" applyFill="1" applyAlignment="1">
      <alignment horizontal="center"/>
    </xf>
    <xf numFmtId="0" fontId="41" fillId="18" borderId="1" xfId="0" applyFont="1" applyFill="1" applyBorder="1"/>
    <xf numFmtId="0" fontId="17" fillId="18" borderId="1" xfId="0" applyFont="1" applyFill="1" applyBorder="1"/>
    <xf numFmtId="0" fontId="32" fillId="18" borderId="1" xfId="0" applyFont="1" applyFill="1" applyBorder="1" applyAlignment="1">
      <alignment horizontal="center"/>
    </xf>
    <xf numFmtId="0" fontId="42" fillId="18" borderId="1" xfId="0" applyFont="1" applyFill="1" applyBorder="1" applyAlignment="1">
      <alignment horizontal="center"/>
    </xf>
    <xf numFmtId="0" fontId="0" fillId="14" borderId="0" xfId="0" applyFill="1"/>
    <xf numFmtId="0" fontId="41" fillId="18" borderId="0" xfId="0" applyFont="1" applyFill="1"/>
    <xf numFmtId="0" fontId="41" fillId="13" borderId="0" xfId="0" applyFont="1" applyFill="1"/>
    <xf numFmtId="0" fontId="45" fillId="18" borderId="0" xfId="0" applyFont="1" applyFill="1"/>
    <xf numFmtId="0" fontId="8" fillId="12" borderId="0" xfId="0" applyFont="1" applyFill="1"/>
    <xf numFmtId="15" fontId="9" fillId="13" borderId="0" xfId="0" applyNumberFormat="1" applyFont="1" applyFill="1"/>
    <xf numFmtId="0" fontId="50" fillId="13" borderId="0" xfId="0" applyFont="1" applyFill="1"/>
    <xf numFmtId="0" fontId="51" fillId="13" borderId="0" xfId="0" applyFont="1" applyFill="1"/>
    <xf numFmtId="0" fontId="52" fillId="11" borderId="0" xfId="0" applyFont="1" applyFill="1"/>
    <xf numFmtId="2" fontId="52" fillId="11" borderId="0" xfId="0" applyNumberFormat="1" applyFont="1" applyFill="1" applyAlignment="1">
      <alignment horizontal="center"/>
    </xf>
    <xf numFmtId="0" fontId="32" fillId="11" borderId="0" xfId="0" applyFont="1" applyFill="1"/>
    <xf numFmtId="0" fontId="43" fillId="13" borderId="1" xfId="0" applyFont="1" applyFill="1" applyBorder="1"/>
    <xf numFmtId="0" fontId="44" fillId="14" borderId="1" xfId="0" applyFont="1" applyFill="1" applyBorder="1"/>
    <xf numFmtId="0" fontId="45" fillId="18" borderId="1" xfId="0" applyFont="1" applyFill="1" applyBorder="1"/>
    <xf numFmtId="0" fontId="46" fillId="18" borderId="1" xfId="0" applyFont="1" applyFill="1" applyBorder="1"/>
    <xf numFmtId="0" fontId="23" fillId="13" borderId="1" xfId="0" applyFont="1" applyFill="1" applyBorder="1" applyAlignment="1">
      <alignment horizontal="center"/>
    </xf>
    <xf numFmtId="0" fontId="49" fillId="13" borderId="1" xfId="0" applyFont="1" applyFill="1" applyBorder="1"/>
    <xf numFmtId="0" fontId="48" fillId="13" borderId="1" xfId="0" applyFont="1" applyFill="1" applyBorder="1"/>
    <xf numFmtId="0" fontId="48" fillId="13" borderId="1" xfId="0" applyFont="1" applyFill="1" applyBorder="1" applyAlignment="1">
      <alignment horizontal="center"/>
    </xf>
    <xf numFmtId="0" fontId="16" fillId="13" borderId="1" xfId="0" applyFont="1" applyFill="1" applyBorder="1"/>
    <xf numFmtId="0" fontId="9" fillId="13" borderId="1" xfId="0" applyFont="1" applyFill="1" applyBorder="1"/>
    <xf numFmtId="15" fontId="9" fillId="13" borderId="1" xfId="0" applyNumberFormat="1" applyFont="1" applyFill="1" applyBorder="1"/>
    <xf numFmtId="0" fontId="50" fillId="13" borderId="1" xfId="0" applyFont="1" applyFill="1" applyBorder="1"/>
    <xf numFmtId="0" fontId="51" fillId="13" borderId="1" xfId="0" applyFont="1" applyFill="1" applyBorder="1"/>
    <xf numFmtId="0" fontId="42" fillId="13" borderId="0" xfId="0" applyFont="1" applyFill="1"/>
    <xf numFmtId="0" fontId="53" fillId="13" borderId="0" xfId="0" applyFont="1" applyFill="1"/>
    <xf numFmtId="165" fontId="17" fillId="14" borderId="0" xfId="0" applyNumberFormat="1" applyFont="1" applyFill="1"/>
    <xf numFmtId="1" fontId="17" fillId="14" borderId="0" xfId="0" applyNumberFormat="1" applyFont="1" applyFill="1" applyAlignment="1">
      <alignment horizontal="center"/>
    </xf>
    <xf numFmtId="0" fontId="54" fillId="13" borderId="0" xfId="0" applyFont="1" applyFill="1"/>
    <xf numFmtId="3" fontId="17" fillId="14" borderId="0" xfId="0" applyNumberFormat="1" applyFont="1" applyFill="1"/>
    <xf numFmtId="2" fontId="17" fillId="14" borderId="0" xfId="0" applyNumberFormat="1" applyFont="1" applyFill="1"/>
    <xf numFmtId="166" fontId="17" fillId="14" borderId="0" xfId="0" applyNumberFormat="1" applyFont="1" applyFill="1"/>
    <xf numFmtId="0" fontId="28" fillId="15" borderId="0" xfId="0" applyFont="1" applyFill="1"/>
    <xf numFmtId="0" fontId="17" fillId="18" borderId="0" xfId="0" applyFont="1" applyFill="1"/>
    <xf numFmtId="0" fontId="3" fillId="18" borderId="0" xfId="0" applyFont="1" applyFill="1"/>
    <xf numFmtId="0" fontId="42" fillId="13" borderId="16" xfId="0" applyFont="1" applyFill="1" applyBorder="1"/>
    <xf numFmtId="0" fontId="17" fillId="14" borderId="17" xfId="0" applyFont="1" applyFill="1" applyBorder="1" applyAlignment="1">
      <alignment horizontal="center"/>
    </xf>
    <xf numFmtId="2" fontId="17" fillId="14" borderId="17" xfId="0" applyNumberFormat="1" applyFont="1" applyFill="1" applyBorder="1" applyAlignment="1">
      <alignment horizontal="center"/>
    </xf>
    <xf numFmtId="0" fontId="42" fillId="13" borderId="19" xfId="0" applyFont="1" applyFill="1" applyBorder="1"/>
    <xf numFmtId="0" fontId="17" fillId="14" borderId="20" xfId="0" applyFont="1" applyFill="1" applyBorder="1" applyAlignment="1">
      <alignment horizontal="center"/>
    </xf>
    <xf numFmtId="2" fontId="17" fillId="14" borderId="20" xfId="0" applyNumberFormat="1" applyFont="1" applyFill="1" applyBorder="1" applyAlignment="1">
      <alignment horizontal="center"/>
    </xf>
    <xf numFmtId="0" fontId="18" fillId="16" borderId="22" xfId="0" applyFont="1" applyFill="1" applyBorder="1" applyAlignment="1">
      <alignment horizontal="center"/>
    </xf>
    <xf numFmtId="0" fontId="33" fillId="16" borderId="23" xfId="0" applyFont="1" applyFill="1" applyBorder="1" applyAlignment="1">
      <alignment horizontal="center"/>
    </xf>
    <xf numFmtId="0" fontId="18" fillId="16" borderId="23" xfId="0" applyFont="1" applyFill="1" applyBorder="1" applyAlignment="1">
      <alignment horizontal="center"/>
    </xf>
    <xf numFmtId="0" fontId="18" fillId="16" borderId="24" xfId="0" applyFont="1" applyFill="1" applyBorder="1" applyAlignment="1">
      <alignment horizontal="center"/>
    </xf>
    <xf numFmtId="0" fontId="18" fillId="16" borderId="25" xfId="0" applyFont="1" applyFill="1" applyBorder="1" applyAlignment="1">
      <alignment horizontal="center"/>
    </xf>
    <xf numFmtId="0" fontId="42" fillId="13" borderId="26" xfId="0" applyFont="1" applyFill="1" applyBorder="1"/>
    <xf numFmtId="0" fontId="42" fillId="13" borderId="27" xfId="0" applyFont="1" applyFill="1" applyBorder="1"/>
    <xf numFmtId="0" fontId="18" fillId="16" borderId="28" xfId="0" applyFont="1" applyFill="1" applyBorder="1" applyAlignment="1">
      <alignment horizontal="center"/>
    </xf>
    <xf numFmtId="0" fontId="17" fillId="14" borderId="29" xfId="0" applyFont="1" applyFill="1" applyBorder="1" applyAlignment="1">
      <alignment horizontal="center"/>
    </xf>
    <xf numFmtId="0" fontId="17" fillId="14" borderId="30" xfId="0" applyFont="1" applyFill="1" applyBorder="1" applyAlignment="1">
      <alignment horizontal="center"/>
    </xf>
    <xf numFmtId="0" fontId="17" fillId="14" borderId="16" xfId="0" applyFont="1" applyFill="1" applyBorder="1"/>
    <xf numFmtId="0" fontId="17" fillId="14" borderId="17" xfId="0" applyFont="1" applyFill="1" applyBorder="1"/>
    <xf numFmtId="0" fontId="17" fillId="14" borderId="18" xfId="0" applyFont="1" applyFill="1" applyBorder="1"/>
    <xf numFmtId="0" fontId="17" fillId="14" borderId="19" xfId="0" applyFont="1" applyFill="1" applyBorder="1"/>
    <xf numFmtId="0" fontId="17" fillId="14" borderId="20" xfId="0" applyFont="1" applyFill="1" applyBorder="1"/>
    <xf numFmtId="0" fontId="17" fillId="14" borderId="21" xfId="0" applyFont="1" applyFill="1" applyBorder="1"/>
    <xf numFmtId="0" fontId="17" fillId="14" borderId="26" xfId="0" applyFont="1" applyFill="1" applyBorder="1"/>
    <xf numFmtId="0" fontId="17" fillId="14" borderId="27" xfId="0" applyFont="1" applyFill="1" applyBorder="1"/>
    <xf numFmtId="0" fontId="17" fillId="14" borderId="29" xfId="0" applyFont="1" applyFill="1" applyBorder="1"/>
    <xf numFmtId="0" fontId="17" fillId="14" borderId="30" xfId="0" applyFont="1" applyFill="1" applyBorder="1"/>
    <xf numFmtId="0" fontId="17" fillId="18" borderId="16" xfId="0" applyFont="1" applyFill="1" applyBorder="1" applyAlignment="1">
      <alignment horizontal="center"/>
    </xf>
    <xf numFmtId="0" fontId="17" fillId="18" borderId="17" xfId="0" applyFont="1" applyFill="1" applyBorder="1"/>
    <xf numFmtId="0" fontId="17" fillId="18" borderId="18" xfId="0" applyFont="1" applyFill="1" applyBorder="1"/>
    <xf numFmtId="0" fontId="17" fillId="18" borderId="19" xfId="0" applyFont="1" applyFill="1" applyBorder="1" applyAlignment="1">
      <alignment horizontal="center"/>
    </xf>
    <xf numFmtId="0" fontId="17" fillId="18" borderId="20" xfId="0" applyFont="1" applyFill="1" applyBorder="1"/>
    <xf numFmtId="0" fontId="17" fillId="18" borderId="21" xfId="0" applyFont="1" applyFill="1" applyBorder="1"/>
    <xf numFmtId="0" fontId="18" fillId="17" borderId="22" xfId="0" applyFont="1" applyFill="1" applyBorder="1" applyAlignment="1">
      <alignment horizontal="center"/>
    </xf>
    <xf numFmtId="0" fontId="18" fillId="17" borderId="23" xfId="0" applyFont="1" applyFill="1" applyBorder="1" applyAlignment="1">
      <alignment horizontal="center"/>
    </xf>
    <xf numFmtId="0" fontId="18" fillId="17" borderId="24" xfId="0" applyFont="1" applyFill="1" applyBorder="1" applyAlignment="1">
      <alignment horizontal="center"/>
    </xf>
    <xf numFmtId="0" fontId="18" fillId="17" borderId="25" xfId="0" applyFont="1" applyFill="1" applyBorder="1" applyAlignment="1">
      <alignment horizontal="center"/>
    </xf>
    <xf numFmtId="0" fontId="17" fillId="18" borderId="26" xfId="0" applyFont="1" applyFill="1" applyBorder="1" applyAlignment="1">
      <alignment horizontal="center"/>
    </xf>
    <xf numFmtId="0" fontId="17" fillId="18" borderId="27" xfId="0" applyFont="1" applyFill="1" applyBorder="1" applyAlignment="1">
      <alignment horizontal="center"/>
    </xf>
    <xf numFmtId="0" fontId="18" fillId="17" borderId="28" xfId="0" applyFont="1" applyFill="1" applyBorder="1" applyAlignment="1">
      <alignment horizontal="center"/>
    </xf>
    <xf numFmtId="0" fontId="17" fillId="18" borderId="29" xfId="0" applyFont="1" applyFill="1" applyBorder="1"/>
    <xf numFmtId="0" fontId="17" fillId="18" borderId="30" xfId="0" applyFont="1" applyFill="1" applyBorder="1"/>
    <xf numFmtId="165" fontId="17" fillId="14" borderId="26" xfId="0" applyNumberFormat="1" applyFont="1" applyFill="1" applyBorder="1"/>
    <xf numFmtId="165" fontId="17" fillId="14" borderId="27" xfId="0" applyNumberFormat="1" applyFont="1" applyFill="1" applyBorder="1"/>
    <xf numFmtId="0" fontId="4" fillId="19" borderId="0" xfId="0" applyFont="1" applyFill="1"/>
    <xf numFmtId="0" fontId="0" fillId="19" borderId="0" xfId="0" applyFill="1"/>
    <xf numFmtId="0" fontId="45" fillId="20" borderId="0" xfId="0" applyFont="1" applyFill="1"/>
    <xf numFmtId="0" fontId="0" fillId="20" borderId="0" xfId="0" applyFill="1"/>
    <xf numFmtId="0" fontId="29" fillId="14" borderId="0" xfId="0" applyFont="1" applyFill="1" applyAlignment="1">
      <alignment horizontal="center"/>
    </xf>
    <xf numFmtId="0" fontId="56" fillId="13" borderId="0" xfId="0" applyFont="1" applyFill="1"/>
    <xf numFmtId="0" fontId="55" fillId="14" borderId="0" xfId="0" applyFont="1" applyFill="1" applyAlignment="1">
      <alignment horizontal="center"/>
    </xf>
    <xf numFmtId="0" fontId="57" fillId="11" borderId="0" xfId="0" applyFont="1" applyFill="1"/>
    <xf numFmtId="0" fontId="58" fillId="11" borderId="0" xfId="0" applyFont="1" applyFill="1"/>
    <xf numFmtId="0" fontId="7" fillId="11" borderId="0" xfId="0" applyFont="1" applyFill="1"/>
    <xf numFmtId="0" fontId="59" fillId="11" borderId="0" xfId="0" applyFont="1" applyFill="1"/>
    <xf numFmtId="0" fontId="42" fillId="18" borderId="16" xfId="0" applyFont="1" applyFill="1" applyBorder="1"/>
    <xf numFmtId="0" fontId="42" fillId="18" borderId="19" xfId="0" applyFont="1" applyFill="1" applyBorder="1"/>
    <xf numFmtId="0" fontId="17" fillId="14" borderId="16" xfId="0" applyFont="1" applyFill="1" applyBorder="1" applyAlignment="1">
      <alignment horizontal="center"/>
    </xf>
    <xf numFmtId="0" fontId="17" fillId="14" borderId="19" xfId="0" applyFont="1" applyFill="1" applyBorder="1" applyAlignment="1">
      <alignment horizontal="center"/>
    </xf>
    <xf numFmtId="0" fontId="41" fillId="18" borderId="29" xfId="0" applyFont="1" applyFill="1" applyBorder="1"/>
    <xf numFmtId="0" fontId="42" fillId="18" borderId="29" xfId="0" applyFont="1" applyFill="1" applyBorder="1"/>
    <xf numFmtId="0" fontId="42" fillId="18" borderId="30" xfId="0" applyFont="1" applyFill="1" applyBorder="1"/>
    <xf numFmtId="0" fontId="61" fillId="21" borderId="0" xfId="0" applyFont="1" applyFill="1" applyAlignment="1">
      <alignment horizontal="center"/>
    </xf>
    <xf numFmtId="0" fontId="62" fillId="22" borderId="0" xfId="0" applyFont="1" applyFill="1"/>
    <xf numFmtId="0" fontId="63" fillId="22" borderId="0" xfId="0" applyFont="1" applyFill="1"/>
    <xf numFmtId="0" fontId="64" fillId="22" borderId="0" xfId="0" applyFont="1" applyFill="1"/>
    <xf numFmtId="0" fontId="65" fillId="22" borderId="0" xfId="0" applyFont="1" applyFill="1"/>
    <xf numFmtId="0" fontId="66" fillId="22" borderId="0" xfId="0" applyFont="1" applyFill="1"/>
    <xf numFmtId="0" fontId="67" fillId="22" borderId="0" xfId="0" applyFont="1" applyFill="1"/>
    <xf numFmtId="0" fontId="61" fillId="21" borderId="31" xfId="0" applyFont="1" applyFill="1" applyBorder="1" applyAlignment="1">
      <alignment horizontal="center"/>
    </xf>
    <xf numFmtId="0" fontId="62" fillId="22" borderId="31" xfId="0" applyFont="1" applyFill="1" applyBorder="1"/>
    <xf numFmtId="0" fontId="0" fillId="0" borderId="31" xfId="0" applyBorder="1"/>
    <xf numFmtId="0" fontId="63" fillId="22" borderId="31" xfId="0" applyFont="1" applyFill="1" applyBorder="1"/>
    <xf numFmtId="0" fontId="65" fillId="22" borderId="31" xfId="0" applyFont="1" applyFill="1" applyBorder="1"/>
    <xf numFmtId="0" fontId="66" fillId="22" borderId="31" xfId="0" applyFont="1" applyFill="1" applyBorder="1"/>
    <xf numFmtId="0" fontId="67" fillId="22" borderId="31" xfId="0" applyFont="1" applyFill="1" applyBorder="1"/>
    <xf numFmtId="0" fontId="35" fillId="12" borderId="0" xfId="0" applyFont="1" applyFill="1"/>
    <xf numFmtId="0" fontId="19" fillId="14" borderId="0" xfId="0" applyFont="1" applyFill="1"/>
    <xf numFmtId="0" fontId="70" fillId="13" borderId="0" xfId="0" applyFont="1" applyFill="1"/>
    <xf numFmtId="0" fontId="71" fillId="13" borderId="0" xfId="0" applyFont="1" applyFill="1"/>
    <xf numFmtId="0" fontId="52" fillId="13" borderId="16" xfId="0" applyFont="1" applyFill="1" applyBorder="1" applyAlignment="1">
      <alignment horizontal="center"/>
    </xf>
    <xf numFmtId="0" fontId="17" fillId="13" borderId="17" xfId="0" applyFont="1" applyFill="1" applyBorder="1"/>
    <xf numFmtId="0" fontId="68" fillId="13" borderId="18" xfId="0" applyFont="1" applyFill="1" applyBorder="1"/>
    <xf numFmtId="0" fontId="52" fillId="14" borderId="16" xfId="0" applyFont="1" applyFill="1" applyBorder="1" applyAlignment="1">
      <alignment horizontal="center"/>
    </xf>
    <xf numFmtId="0" fontId="68" fillId="14" borderId="18" xfId="0" applyFont="1" applyFill="1" applyBorder="1"/>
    <xf numFmtId="0" fontId="52" fillId="13" borderId="19" xfId="0" applyFont="1" applyFill="1" applyBorder="1" applyAlignment="1">
      <alignment horizontal="center"/>
    </xf>
    <xf numFmtId="0" fontId="17" fillId="13" borderId="20" xfId="0" applyFont="1" applyFill="1" applyBorder="1"/>
    <xf numFmtId="0" fontId="68" fillId="13" borderId="21" xfId="0" applyFont="1" applyFill="1" applyBorder="1"/>
    <xf numFmtId="0" fontId="42" fillId="14" borderId="16" xfId="0" applyFont="1" applyFill="1" applyBorder="1"/>
    <xf numFmtId="0" fontId="42" fillId="14" borderId="19" xfId="0" applyFont="1" applyFill="1" applyBorder="1"/>
    <xf numFmtId="0" fontId="3" fillId="14" borderId="21" xfId="0" applyFont="1" applyFill="1" applyBorder="1"/>
    <xf numFmtId="0" fontId="17" fillId="13" borderId="16" xfId="0" applyFont="1" applyFill="1" applyBorder="1" applyAlignment="1">
      <alignment horizontal="center"/>
    </xf>
    <xf numFmtId="0" fontId="17" fillId="13" borderId="18" xfId="0" applyFont="1" applyFill="1" applyBorder="1"/>
    <xf numFmtId="0" fontId="32" fillId="15" borderId="0" xfId="0" applyFont="1" applyFill="1"/>
    <xf numFmtId="0" fontId="42" fillId="13" borderId="5" xfId="0" applyFont="1" applyFill="1" applyBorder="1"/>
    <xf numFmtId="0" fontId="72" fillId="13" borderId="1" xfId="0" applyFont="1" applyFill="1" applyBorder="1"/>
    <xf numFmtId="0" fontId="71" fillId="13" borderId="1" xfId="0" applyFont="1" applyFill="1" applyBorder="1"/>
    <xf numFmtId="0" fontId="42" fillId="14" borderId="5" xfId="0" applyFont="1" applyFill="1" applyBorder="1"/>
    <xf numFmtId="0" fontId="73" fillId="14" borderId="1" xfId="0" applyFont="1" applyFill="1" applyBorder="1"/>
    <xf numFmtId="0" fontId="71" fillId="14" borderId="1" xfId="0" applyFont="1" applyFill="1" applyBorder="1"/>
    <xf numFmtId="0" fontId="74" fillId="13" borderId="1" xfId="0" applyFont="1" applyFill="1" applyBorder="1"/>
    <xf numFmtId="0" fontId="75" fillId="14" borderId="1" xfId="0" applyFont="1" applyFill="1" applyBorder="1"/>
    <xf numFmtId="0" fontId="75" fillId="13" borderId="1" xfId="0" applyFont="1" applyFill="1" applyBorder="1"/>
    <xf numFmtId="0" fontId="50" fillId="14" borderId="1" xfId="0" applyFont="1" applyFill="1" applyBorder="1"/>
    <xf numFmtId="0" fontId="76" fillId="13" borderId="1" xfId="0" applyFont="1" applyFill="1" applyBorder="1"/>
    <xf numFmtId="0" fontId="42" fillId="14" borderId="34" xfId="0" applyFont="1" applyFill="1" applyBorder="1"/>
    <xf numFmtId="0" fontId="74" fillId="14" borderId="35" xfId="0" applyFont="1" applyFill="1" applyBorder="1"/>
    <xf numFmtId="0" fontId="71" fillId="14" borderId="35" xfId="0" applyFont="1" applyFill="1" applyBorder="1"/>
    <xf numFmtId="0" fontId="18" fillId="16" borderId="37" xfId="0" applyFont="1" applyFill="1" applyBorder="1" applyAlignment="1">
      <alignment horizontal="center"/>
    </xf>
    <xf numFmtId="0" fontId="18" fillId="16" borderId="38" xfId="0" applyFont="1" applyFill="1" applyBorder="1" applyAlignment="1">
      <alignment horizontal="center"/>
    </xf>
    <xf numFmtId="0" fontId="18" fillId="16" borderId="39" xfId="0" applyFont="1" applyFill="1" applyBorder="1" applyAlignment="1">
      <alignment horizontal="center"/>
    </xf>
    <xf numFmtId="0" fontId="18" fillId="16" borderId="40" xfId="0" applyFont="1" applyFill="1" applyBorder="1" applyAlignment="1">
      <alignment horizontal="center"/>
    </xf>
    <xf numFmtId="0" fontId="18" fillId="16" borderId="41" xfId="0" applyFont="1" applyFill="1" applyBorder="1" applyAlignment="1">
      <alignment horizontal="center"/>
    </xf>
    <xf numFmtId="0" fontId="42" fillId="13" borderId="42" xfId="0" applyFont="1" applyFill="1" applyBorder="1"/>
    <xf numFmtId="0" fontId="42" fillId="14" borderId="42" xfId="0" applyFont="1" applyFill="1" applyBorder="1"/>
    <xf numFmtId="0" fontId="42" fillId="14" borderId="43" xfId="0" applyFont="1" applyFill="1" applyBorder="1"/>
    <xf numFmtId="0" fontId="18" fillId="16" borderId="44" xfId="0" applyFont="1" applyFill="1" applyBorder="1" applyAlignment="1">
      <alignment horizontal="center"/>
    </xf>
    <xf numFmtId="0" fontId="68" fillId="13" borderId="45" xfId="0" applyFont="1" applyFill="1" applyBorder="1"/>
    <xf numFmtId="0" fontId="68" fillId="14" borderId="45" xfId="0" applyFont="1" applyFill="1" applyBorder="1"/>
    <xf numFmtId="0" fontId="68" fillId="14" borderId="46" xfId="0" applyFont="1" applyFill="1" applyBorder="1"/>
    <xf numFmtId="0" fontId="17" fillId="13" borderId="32" xfId="0" applyFont="1" applyFill="1" applyBorder="1"/>
    <xf numFmtId="0" fontId="18" fillId="16" borderId="47" xfId="0" applyFont="1" applyFill="1" applyBorder="1" applyAlignment="1">
      <alignment horizontal="center"/>
    </xf>
    <xf numFmtId="0" fontId="17" fillId="13" borderId="15" xfId="0" applyFont="1" applyFill="1" applyBorder="1"/>
    <xf numFmtId="0" fontId="17" fillId="13" borderId="48" xfId="0" applyFont="1" applyFill="1" applyBorder="1"/>
    <xf numFmtId="0" fontId="18" fillId="16" borderId="49" xfId="0" applyFont="1" applyFill="1" applyBorder="1" applyAlignment="1">
      <alignment horizontal="center"/>
    </xf>
    <xf numFmtId="0" fontId="17" fillId="14" borderId="7" xfId="0" applyFont="1" applyFill="1" applyBorder="1"/>
    <xf numFmtId="0" fontId="17" fillId="13" borderId="50" xfId="0" applyFont="1" applyFill="1" applyBorder="1"/>
    <xf numFmtId="0" fontId="71" fillId="14" borderId="6" xfId="0" applyFont="1" applyFill="1" applyBorder="1"/>
    <xf numFmtId="0" fontId="17" fillId="14" borderId="35" xfId="0" applyFont="1" applyFill="1" applyBorder="1"/>
    <xf numFmtId="0" fontId="17" fillId="14" borderId="36" xfId="0" applyFont="1" applyFill="1" applyBorder="1"/>
    <xf numFmtId="0" fontId="9" fillId="13" borderId="52" xfId="0" applyFont="1" applyFill="1" applyBorder="1"/>
    <xf numFmtId="0" fontId="0" fillId="0" borderId="52" xfId="0" applyBorder="1"/>
    <xf numFmtId="0" fontId="9" fillId="13" borderId="53" xfId="0" applyFont="1" applyFill="1" applyBorder="1"/>
    <xf numFmtId="0" fontId="0" fillId="0" borderId="53" xfId="0" applyBorder="1"/>
    <xf numFmtId="0" fontId="80" fillId="12" borderId="0" xfId="0" applyFont="1" applyFill="1" applyAlignment="1">
      <alignment horizontal="center"/>
    </xf>
    <xf numFmtId="0" fontId="35" fillId="19" borderId="0" xfId="0" applyFont="1" applyFill="1"/>
    <xf numFmtId="0" fontId="0" fillId="24" borderId="0" xfId="0" applyFill="1"/>
    <xf numFmtId="0" fontId="103" fillId="11" borderId="0" xfId="0" applyFont="1" applyFill="1"/>
    <xf numFmtId="0" fontId="105" fillId="11" borderId="0" xfId="0" applyFont="1" applyFill="1"/>
    <xf numFmtId="0" fontId="86" fillId="11" borderId="0" xfId="0" applyFont="1" applyFill="1"/>
    <xf numFmtId="0" fontId="106" fillId="11" borderId="0" xfId="0" applyFont="1" applyFill="1"/>
    <xf numFmtId="0" fontId="18" fillId="11" borderId="0" xfId="0" applyFont="1" applyFill="1"/>
    <xf numFmtId="0" fontId="84" fillId="19" borderId="0" xfId="0" applyFont="1" applyFill="1" applyAlignment="1">
      <alignment horizontal="center"/>
    </xf>
    <xf numFmtId="0" fontId="18" fillId="19" borderId="0" xfId="0" applyFont="1" applyFill="1"/>
    <xf numFmtId="0" fontId="81" fillId="19" borderId="0" xfId="0" applyFont="1" applyFill="1" applyAlignment="1">
      <alignment horizontal="center"/>
    </xf>
    <xf numFmtId="0" fontId="52" fillId="23" borderId="0" xfId="0" applyFont="1" applyFill="1" applyAlignment="1">
      <alignment horizontal="center"/>
    </xf>
    <xf numFmtId="0" fontId="68" fillId="19" borderId="0" xfId="0" applyFont="1" applyFill="1"/>
    <xf numFmtId="0" fontId="85" fillId="19" borderId="0" xfId="0" applyFont="1" applyFill="1" applyAlignment="1">
      <alignment horizontal="center"/>
    </xf>
    <xf numFmtId="0" fontId="88" fillId="11" borderId="0" xfId="0" applyFont="1" applyFill="1"/>
    <xf numFmtId="0" fontId="30" fillId="11" borderId="0" xfId="0" applyFont="1" applyFill="1" applyAlignment="1">
      <alignment horizontal="center"/>
    </xf>
    <xf numFmtId="0" fontId="89" fillId="11" borderId="0" xfId="0" applyFont="1" applyFill="1"/>
    <xf numFmtId="0" fontId="90" fillId="11" borderId="0" xfId="0" applyFont="1" applyFill="1" applyAlignment="1">
      <alignment horizontal="center"/>
    </xf>
    <xf numFmtId="0" fontId="91" fillId="11" borderId="0" xfId="0" applyFont="1" applyFill="1" applyAlignment="1">
      <alignment horizontal="center"/>
    </xf>
    <xf numFmtId="0" fontId="83" fillId="11" borderId="0" xfId="0" applyFont="1" applyFill="1" applyAlignment="1">
      <alignment horizontal="center"/>
    </xf>
    <xf numFmtId="0" fontId="85" fillId="11" borderId="0" xfId="0" applyFont="1" applyFill="1" applyAlignment="1">
      <alignment horizontal="center"/>
    </xf>
    <xf numFmtId="0" fontId="88" fillId="24" borderId="0" xfId="0" applyFont="1" applyFill="1"/>
    <xf numFmtId="0" fontId="30" fillId="24" borderId="0" xfId="0" applyFont="1" applyFill="1" applyAlignment="1">
      <alignment horizontal="center"/>
    </xf>
    <xf numFmtId="0" fontId="89" fillId="24" borderId="0" xfId="0" applyFont="1" applyFill="1"/>
    <xf numFmtId="0" fontId="90" fillId="24" borderId="0" xfId="0" applyFont="1" applyFill="1" applyAlignment="1">
      <alignment horizontal="center"/>
    </xf>
    <xf numFmtId="0" fontId="91" fillId="24" borderId="0" xfId="0" applyFont="1" applyFill="1" applyAlignment="1">
      <alignment horizontal="center"/>
    </xf>
    <xf numFmtId="0" fontId="83" fillId="24" borderId="0" xfId="0" applyFont="1" applyFill="1" applyAlignment="1">
      <alignment horizontal="center"/>
    </xf>
    <xf numFmtId="0" fontId="85" fillId="24" borderId="0" xfId="0" applyFont="1" applyFill="1" applyAlignment="1">
      <alignment horizontal="center"/>
    </xf>
    <xf numFmtId="0" fontId="92" fillId="24" borderId="0" xfId="0" applyFont="1" applyFill="1" applyAlignment="1">
      <alignment horizontal="center"/>
    </xf>
    <xf numFmtId="0" fontId="93" fillId="24" borderId="0" xfId="0" applyFont="1" applyFill="1" applyAlignment="1">
      <alignment horizontal="center"/>
    </xf>
    <xf numFmtId="0" fontId="92" fillId="11" borderId="0" xfId="0" applyFont="1" applyFill="1" applyAlignment="1">
      <alignment horizontal="center"/>
    </xf>
    <xf numFmtId="0" fontId="87" fillId="24" borderId="0" xfId="0" applyFont="1" applyFill="1"/>
    <xf numFmtId="0" fontId="94" fillId="24" borderId="0" xfId="0" applyFont="1" applyFill="1" applyAlignment="1">
      <alignment horizontal="center"/>
    </xf>
    <xf numFmtId="0" fontId="96" fillId="24" borderId="0" xfId="0" applyFont="1" applyFill="1"/>
    <xf numFmtId="0" fontId="97" fillId="24" borderId="0" xfId="0" applyFont="1" applyFill="1" applyAlignment="1">
      <alignment horizontal="center"/>
    </xf>
    <xf numFmtId="0" fontId="94" fillId="11" borderId="0" xfId="0" applyFont="1" applyFill="1" applyAlignment="1">
      <alignment horizontal="center"/>
    </xf>
    <xf numFmtId="0" fontId="80" fillId="12" borderId="54" xfId="0" applyFont="1" applyFill="1" applyBorder="1" applyAlignment="1">
      <alignment horizontal="center"/>
    </xf>
    <xf numFmtId="0" fontId="8" fillId="12" borderId="54" xfId="0" applyFont="1" applyFill="1" applyBorder="1" applyAlignment="1">
      <alignment horizontal="center"/>
    </xf>
    <xf numFmtId="0" fontId="82" fillId="12" borderId="54" xfId="0" applyFont="1" applyFill="1" applyBorder="1" applyAlignment="1">
      <alignment horizontal="center"/>
    </xf>
    <xf numFmtId="0" fontId="37" fillId="11" borderId="54" xfId="0" applyFont="1" applyFill="1" applyBorder="1" applyAlignment="1">
      <alignment horizontal="center"/>
    </xf>
    <xf numFmtId="0" fontId="14" fillId="12" borderId="54" xfId="0" applyFont="1" applyFill="1" applyBorder="1" applyAlignment="1">
      <alignment horizontal="center"/>
    </xf>
    <xf numFmtId="0" fontId="80" fillId="12" borderId="33" xfId="0" applyFont="1" applyFill="1" applyBorder="1" applyAlignment="1">
      <alignment horizontal="center"/>
    </xf>
    <xf numFmtId="16" fontId="98" fillId="12" borderId="33" xfId="0" applyNumberFormat="1" applyFont="1" applyFill="1" applyBorder="1" applyAlignment="1">
      <alignment horizontal="center"/>
    </xf>
    <xf numFmtId="0" fontId="99" fillId="12" borderId="33" xfId="0" applyFont="1" applyFill="1" applyBorder="1"/>
    <xf numFmtId="0" fontId="0" fillId="12" borderId="33" xfId="0" applyFill="1" applyBorder="1"/>
    <xf numFmtId="16" fontId="100" fillId="12" borderId="33" xfId="0" applyNumberFormat="1" applyFont="1" applyFill="1" applyBorder="1" applyAlignment="1">
      <alignment horizontal="center"/>
    </xf>
    <xf numFmtId="0" fontId="95" fillId="12" borderId="33" xfId="0" applyFont="1" applyFill="1" applyBorder="1"/>
    <xf numFmtId="0" fontId="101" fillId="12" borderId="33" xfId="0" applyFont="1" applyFill="1" applyBorder="1" applyAlignment="1">
      <alignment horizontal="center"/>
    </xf>
    <xf numFmtId="0" fontId="102" fillId="12" borderId="33" xfId="0" applyFont="1" applyFill="1" applyBorder="1"/>
    <xf numFmtId="0" fontId="0" fillId="0" borderId="55" xfId="0" applyBorder="1"/>
    <xf numFmtId="0" fontId="7" fillId="12" borderId="0" xfId="0" applyFont="1" applyFill="1"/>
    <xf numFmtId="0" fontId="0" fillId="25" borderId="0" xfId="0" applyFill="1"/>
    <xf numFmtId="0" fontId="78" fillId="12" borderId="0" xfId="0" applyFont="1" applyFill="1"/>
    <xf numFmtId="0" fontId="35" fillId="26" borderId="0" xfId="0" applyFont="1" applyFill="1"/>
    <xf numFmtId="0" fontId="0" fillId="26" borderId="0" xfId="0" applyFill="1"/>
    <xf numFmtId="0" fontId="107" fillId="11" borderId="0" xfId="0" applyFont="1" applyFill="1"/>
    <xf numFmtId="167" fontId="0" fillId="25" borderId="0" xfId="0" applyNumberFormat="1" applyFill="1"/>
    <xf numFmtId="0" fontId="107" fillId="24" borderId="0" xfId="0" applyFont="1" applyFill="1"/>
    <xf numFmtId="0" fontId="108" fillId="11" borderId="0" xfId="0" applyFont="1" applyFill="1"/>
    <xf numFmtId="0" fontId="108" fillId="24" borderId="0" xfId="0" applyFont="1" applyFill="1"/>
    <xf numFmtId="0" fontId="109" fillId="19" borderId="0" xfId="0" applyFont="1" applyFill="1" applyAlignment="1">
      <alignment horizontal="center"/>
    </xf>
    <xf numFmtId="2" fontId="0" fillId="25" borderId="0" xfId="0" applyNumberFormat="1" applyFill="1"/>
    <xf numFmtId="0" fontId="87" fillId="27" borderId="0" xfId="0" applyFont="1" applyFill="1"/>
    <xf numFmtId="0" fontId="0" fillId="27" borderId="0" xfId="0" applyFill="1"/>
    <xf numFmtId="0" fontId="110" fillId="27" borderId="0" xfId="0" applyFont="1" applyFill="1"/>
    <xf numFmtId="0" fontId="36" fillId="24" borderId="0" xfId="0" applyFont="1" applyFill="1"/>
    <xf numFmtId="0" fontId="39" fillId="26" borderId="0" xfId="0" applyFont="1" applyFill="1"/>
    <xf numFmtId="0" fontId="114" fillId="29" borderId="0" xfId="0" applyFont="1" applyFill="1"/>
    <xf numFmtId="0" fontId="0" fillId="29" borderId="0" xfId="0" applyFill="1"/>
    <xf numFmtId="0" fontId="111" fillId="0" borderId="0" xfId="0" applyFont="1"/>
    <xf numFmtId="0" fontId="111" fillId="30" borderId="0" xfId="0" applyFont="1" applyFill="1"/>
    <xf numFmtId="0" fontId="115" fillId="0" borderId="0" xfId="0" applyFont="1"/>
    <xf numFmtId="0" fontId="117" fillId="0" borderId="0" xfId="0" applyFont="1"/>
    <xf numFmtId="0" fontId="0" fillId="0" borderId="0" xfId="0" applyAlignment="1">
      <alignment wrapText="1"/>
    </xf>
    <xf numFmtId="0" fontId="117" fillId="32" borderId="0" xfId="0" applyFont="1" applyFill="1"/>
    <xf numFmtId="0" fontId="111" fillId="32" borderId="0" xfId="0" applyFont="1" applyFill="1"/>
    <xf numFmtId="0" fontId="111" fillId="32" borderId="0" xfId="0" applyFont="1" applyFill="1" applyAlignment="1">
      <alignment wrapText="1"/>
    </xf>
    <xf numFmtId="0" fontId="0" fillId="32" borderId="0" xfId="0" applyFill="1"/>
    <xf numFmtId="0" fontId="117" fillId="28" borderId="0" xfId="0" applyFont="1" applyFill="1"/>
    <xf numFmtId="0" fontId="0" fillId="28" borderId="0" xfId="0" applyFill="1"/>
    <xf numFmtId="0" fontId="0" fillId="30" borderId="0" xfId="0" applyFill="1"/>
    <xf numFmtId="0" fontId="119" fillId="0" borderId="0" xfId="0" applyFont="1"/>
    <xf numFmtId="0" fontId="111" fillId="28" borderId="0" xfId="0" applyFont="1" applyFill="1"/>
    <xf numFmtId="0" fontId="120" fillId="0" borderId="0" xfId="0" applyFont="1"/>
    <xf numFmtId="0" fontId="116" fillId="0" borderId="0" xfId="0" applyFont="1" applyAlignment="1">
      <alignment wrapText="1"/>
    </xf>
    <xf numFmtId="0" fontId="0" fillId="0" borderId="57" xfId="0" applyBorder="1" applyAlignment="1">
      <alignment wrapText="1"/>
    </xf>
    <xf numFmtId="0" fontId="0" fillId="0" borderId="58" xfId="0" applyBorder="1" applyAlignment="1">
      <alignment wrapText="1"/>
    </xf>
    <xf numFmtId="0" fontId="111" fillId="30" borderId="59" xfId="0" applyFont="1" applyFill="1" applyBorder="1"/>
    <xf numFmtId="0" fontId="0" fillId="0" borderId="61" xfId="0" applyBorder="1" applyAlignment="1">
      <alignment wrapText="1"/>
    </xf>
    <xf numFmtId="0" fontId="0" fillId="0" borderId="62" xfId="0" applyBorder="1" applyAlignment="1">
      <alignment wrapText="1"/>
    </xf>
    <xf numFmtId="0" fontId="111" fillId="30" borderId="63" xfId="0" applyFont="1" applyFill="1" applyBorder="1"/>
    <xf numFmtId="0" fontId="117" fillId="0" borderId="64" xfId="0" applyFont="1" applyBorder="1"/>
    <xf numFmtId="0" fontId="117" fillId="0" borderId="65" xfId="0" applyFont="1" applyBorder="1"/>
    <xf numFmtId="0" fontId="0" fillId="0" borderId="67" xfId="0" applyBorder="1" applyAlignment="1">
      <alignment wrapText="1"/>
    </xf>
    <xf numFmtId="0" fontId="0" fillId="0" borderId="68" xfId="0" applyBorder="1" applyAlignment="1">
      <alignment wrapText="1"/>
    </xf>
    <xf numFmtId="0" fontId="0" fillId="0" borderId="56" xfId="0" applyBorder="1" applyAlignment="1">
      <alignment wrapText="1"/>
    </xf>
    <xf numFmtId="0" fontId="0" fillId="0" borderId="60" xfId="0" applyBorder="1" applyAlignment="1">
      <alignment wrapText="1"/>
    </xf>
    <xf numFmtId="0" fontId="115" fillId="31" borderId="71" xfId="0" applyFont="1" applyFill="1" applyBorder="1" applyAlignment="1">
      <alignment wrapText="1"/>
    </xf>
    <xf numFmtId="0" fontId="115" fillId="31" borderId="70" xfId="0" applyFont="1" applyFill="1" applyBorder="1" applyAlignment="1">
      <alignment wrapText="1"/>
    </xf>
    <xf numFmtId="0" fontId="0" fillId="28" borderId="0" xfId="0" applyFill="1" applyAlignment="1">
      <alignment wrapText="1"/>
    </xf>
    <xf numFmtId="0" fontId="121" fillId="0" borderId="0" xfId="0" applyFont="1"/>
    <xf numFmtId="0" fontId="122" fillId="0" borderId="0" xfId="0" applyFont="1" applyAlignment="1">
      <alignment wrapText="1"/>
    </xf>
    <xf numFmtId="0" fontId="114" fillId="33" borderId="0" xfId="0" applyFont="1" applyFill="1"/>
    <xf numFmtId="0" fontId="0" fillId="33" borderId="0" xfId="0" applyFill="1"/>
    <xf numFmtId="0" fontId="123" fillId="0" borderId="0" xfId="0" applyFont="1"/>
    <xf numFmtId="0" fontId="122" fillId="0" borderId="0" xfId="0" applyFont="1"/>
    <xf numFmtId="0" fontId="121" fillId="34" borderId="0" xfId="0" applyFont="1" applyFill="1"/>
    <xf numFmtId="0" fontId="0" fillId="34" borderId="0" xfId="0" applyFill="1" applyAlignment="1">
      <alignment wrapText="1"/>
    </xf>
    <xf numFmtId="0" fontId="111" fillId="30" borderId="0" xfId="0" applyFont="1" applyFill="1" applyAlignment="1">
      <alignment wrapText="1"/>
    </xf>
    <xf numFmtId="0" fontId="0" fillId="30" borderId="0" xfId="0" applyFill="1" applyAlignment="1">
      <alignment wrapText="1"/>
    </xf>
    <xf numFmtId="0" fontId="0" fillId="34" borderId="57" xfId="0" applyFill="1" applyBorder="1" applyAlignment="1">
      <alignment wrapText="1"/>
    </xf>
    <xf numFmtId="0" fontId="111" fillId="30" borderId="57" xfId="0" applyFont="1" applyFill="1" applyBorder="1" applyAlignment="1">
      <alignment wrapText="1"/>
    </xf>
    <xf numFmtId="0" fontId="0" fillId="0" borderId="59" xfId="0" applyBorder="1"/>
    <xf numFmtId="0" fontId="123" fillId="0" borderId="63" xfId="0" applyFont="1" applyBorder="1"/>
    <xf numFmtId="0" fontId="123" fillId="0" borderId="64" xfId="0" applyFont="1" applyBorder="1"/>
    <xf numFmtId="0" fontId="0" fillId="0" borderId="64" xfId="0" applyBorder="1"/>
    <xf numFmtId="0" fontId="121" fillId="34" borderId="64" xfId="0" applyFont="1" applyFill="1" applyBorder="1"/>
    <xf numFmtId="0" fontId="111" fillId="30" borderId="64" xfId="0" applyFont="1" applyFill="1" applyBorder="1"/>
    <xf numFmtId="0" fontId="111" fillId="0" borderId="64" xfId="0" applyFont="1" applyBorder="1"/>
    <xf numFmtId="0" fontId="111" fillId="0" borderId="65" xfId="0" applyFont="1" applyBorder="1"/>
    <xf numFmtId="0" fontId="0" fillId="0" borderId="66" xfId="0" applyBorder="1"/>
    <xf numFmtId="0" fontId="0" fillId="34" borderId="67" xfId="0" applyFill="1" applyBorder="1" applyAlignment="1">
      <alignment wrapText="1"/>
    </xf>
    <xf numFmtId="0" fontId="111" fillId="30" borderId="67" xfId="0" applyFont="1" applyFill="1" applyBorder="1" applyAlignment="1">
      <alignment wrapText="1"/>
    </xf>
    <xf numFmtId="0" fontId="111" fillId="0" borderId="63" xfId="0" applyFont="1" applyBorder="1"/>
    <xf numFmtId="0" fontId="0" fillId="0" borderId="65" xfId="0" applyBorder="1"/>
    <xf numFmtId="0" fontId="0" fillId="0" borderId="63" xfId="0" applyBorder="1"/>
    <xf numFmtId="0" fontId="0" fillId="30" borderId="67" xfId="0" applyFill="1" applyBorder="1" applyAlignment="1">
      <alignment wrapText="1"/>
    </xf>
    <xf numFmtId="0" fontId="114" fillId="35" borderId="0" xfId="0" applyFont="1" applyFill="1"/>
    <xf numFmtId="0" fontId="0" fillId="35" borderId="0" xfId="0" applyFill="1"/>
    <xf numFmtId="0" fontId="124" fillId="0" borderId="0" xfId="0" applyFont="1"/>
    <xf numFmtId="0" fontId="124" fillId="36" borderId="0" xfId="0" applyFont="1" applyFill="1"/>
    <xf numFmtId="0" fontId="0" fillId="36" borderId="0" xfId="0" applyFill="1"/>
    <xf numFmtId="0" fontId="125" fillId="0" borderId="0" xfId="0" applyFont="1"/>
    <xf numFmtId="0" fontId="126" fillId="0" borderId="0" xfId="0" applyFont="1"/>
    <xf numFmtId="0" fontId="127" fillId="0" borderId="0" xfId="0" applyFont="1"/>
    <xf numFmtId="0" fontId="128" fillId="0" borderId="0" xfId="0" applyFont="1"/>
    <xf numFmtId="0" fontId="129" fillId="0" borderId="0" xfId="0" applyFont="1"/>
    <xf numFmtId="0" fontId="130" fillId="0" borderId="0" xfId="0" applyFont="1"/>
    <xf numFmtId="0" fontId="131" fillId="0" borderId="0" xfId="0" applyFont="1"/>
    <xf numFmtId="0" fontId="132" fillId="0" borderId="0" xfId="0" applyFont="1"/>
    <xf numFmtId="0" fontId="133" fillId="0" borderId="0" xfId="0" applyFont="1"/>
    <xf numFmtId="0" fontId="134" fillId="0" borderId="0" xfId="0" applyFont="1"/>
    <xf numFmtId="0" fontId="135" fillId="0" borderId="0" xfId="0" applyFont="1"/>
    <xf numFmtId="0" fontId="136" fillId="0" borderId="0" xfId="0" applyFont="1"/>
    <xf numFmtId="168" fontId="134" fillId="0" borderId="0" xfId="0" applyNumberFormat="1" applyFont="1"/>
    <xf numFmtId="168" fontId="137" fillId="0" borderId="0" xfId="0" applyNumberFormat="1" applyFont="1"/>
    <xf numFmtId="0" fontId="118" fillId="37" borderId="0" xfId="0" applyFont="1" applyFill="1"/>
    <xf numFmtId="0" fontId="0" fillId="37" borderId="0" xfId="0" applyFill="1"/>
    <xf numFmtId="0" fontId="0" fillId="36" borderId="0" xfId="0" applyFill="1" applyAlignment="1">
      <alignment wrapText="1"/>
    </xf>
    <xf numFmtId="0" fontId="138" fillId="0" borderId="0" xfId="0" applyFont="1"/>
    <xf numFmtId="0" fontId="0" fillId="0" borderId="0" xfId="0" quotePrefix="1"/>
    <xf numFmtId="0" fontId="139" fillId="0" borderId="0" xfId="0" applyFont="1"/>
    <xf numFmtId="0" fontId="114" fillId="38" borderId="0" xfId="0" applyFont="1" applyFill="1"/>
    <xf numFmtId="0" fontId="0" fillId="38" borderId="0" xfId="0" applyFill="1"/>
    <xf numFmtId="0" fontId="136" fillId="39" borderId="0" xfId="0" applyFont="1" applyFill="1"/>
    <xf numFmtId="0" fontId="0" fillId="39" borderId="0" xfId="0" applyFill="1"/>
    <xf numFmtId="0" fontId="140" fillId="0" borderId="0" xfId="0" applyFont="1"/>
    <xf numFmtId="0" fontId="141" fillId="0" borderId="0" xfId="0" applyFont="1"/>
    <xf numFmtId="0" fontId="142" fillId="0" borderId="0" xfId="0" applyFont="1"/>
    <xf numFmtId="0" fontId="114" fillId="40" borderId="0" xfId="0" applyFont="1" applyFill="1"/>
    <xf numFmtId="0" fontId="0" fillId="40" borderId="0" xfId="0" applyFill="1"/>
    <xf numFmtId="0" fontId="143" fillId="0" borderId="0" xfId="0" applyFont="1"/>
    <xf numFmtId="0" fontId="144" fillId="32" borderId="0" xfId="0" applyFont="1" applyFill="1"/>
    <xf numFmtId="0" fontId="118" fillId="41" borderId="0" xfId="0" applyFont="1" applyFill="1"/>
    <xf numFmtId="0" fontId="0" fillId="41" borderId="0" xfId="0" applyFill="1"/>
    <xf numFmtId="0" fontId="145" fillId="0" borderId="0" xfId="0" applyFont="1"/>
    <xf numFmtId="0" fontId="146" fillId="0" borderId="0" xfId="0" applyFont="1"/>
    <xf numFmtId="0" fontId="148" fillId="0" borderId="0" xfId="0" applyFont="1"/>
    <xf numFmtId="0" fontId="147" fillId="0" borderId="0" xfId="0" applyFont="1" applyAlignment="1">
      <alignment wrapText="1"/>
    </xf>
    <xf numFmtId="0" fontId="114" fillId="42" borderId="0" xfId="0" applyFont="1" applyFill="1"/>
    <xf numFmtId="0" fontId="0" fillId="42" borderId="0" xfId="0" applyFill="1"/>
    <xf numFmtId="0" fontId="150" fillId="0" borderId="0" xfId="0" applyFont="1"/>
    <xf numFmtId="0" fontId="150" fillId="39" borderId="0" xfId="0" applyFont="1" applyFill="1"/>
    <xf numFmtId="0" fontId="149" fillId="0" borderId="0" xfId="0" applyFont="1" applyAlignment="1">
      <alignment wrapText="1"/>
    </xf>
    <xf numFmtId="0" fontId="118" fillId="42" borderId="0" xfId="0" applyFont="1" applyFill="1"/>
    <xf numFmtId="0" fontId="151" fillId="0" borderId="0" xfId="0" applyFont="1"/>
    <xf numFmtId="0" fontId="152" fillId="0" borderId="0" xfId="0" applyFont="1"/>
    <xf numFmtId="0" fontId="12" fillId="0" borderId="0" xfId="0" applyFont="1"/>
    <xf numFmtId="0" fontId="153" fillId="0" borderId="0" xfId="0" applyFont="1"/>
    <xf numFmtId="0" fontId="154" fillId="43" borderId="0" xfId="0" applyFont="1" applyFill="1"/>
    <xf numFmtId="0" fontId="156" fillId="0" borderId="0" xfId="0" applyFont="1"/>
    <xf numFmtId="49" fontId="155" fillId="0" borderId="0" xfId="0" applyNumberFormat="1" applyFont="1"/>
    <xf numFmtId="0" fontId="157" fillId="30" borderId="66" xfId="0" applyFont="1" applyFill="1" applyBorder="1"/>
    <xf numFmtId="0" fontId="158" fillId="30" borderId="69" xfId="0" applyFont="1" applyFill="1" applyBorder="1"/>
    <xf numFmtId="0" fontId="150" fillId="44" borderId="0" xfId="0" applyFont="1" applyFill="1"/>
    <xf numFmtId="0" fontId="0" fillId="44" borderId="0" xfId="0" applyFill="1"/>
    <xf numFmtId="0" fontId="0" fillId="44" borderId="0" xfId="0" applyFill="1" applyAlignment="1">
      <alignment wrapText="1"/>
    </xf>
    <xf numFmtId="0" fontId="159" fillId="44" borderId="0" xfId="0" applyFont="1" applyFill="1"/>
    <xf numFmtId="0" fontId="156" fillId="44" borderId="0" xfId="0" applyFont="1" applyFill="1"/>
    <xf numFmtId="0" fontId="149" fillId="31" borderId="0" xfId="0" applyFont="1" applyFill="1"/>
    <xf numFmtId="0" fontId="160" fillId="42" borderId="0" xfId="0" applyFont="1" applyFill="1"/>
    <xf numFmtId="0" fontId="161" fillId="42" borderId="0" xfId="0" applyFont="1" applyFill="1"/>
    <xf numFmtId="0" fontId="155" fillId="44" borderId="0" xfId="0" applyFont="1" applyFill="1" applyAlignment="1">
      <alignment wrapText="1"/>
    </xf>
    <xf numFmtId="0" fontId="162" fillId="45" borderId="0" xfId="0" applyFont="1" applyFill="1"/>
    <xf numFmtId="0" fontId="0" fillId="45" borderId="0" xfId="0" applyFill="1"/>
    <xf numFmtId="0" fontId="163" fillId="45" borderId="0" xfId="0" applyFont="1" applyFill="1"/>
    <xf numFmtId="0" fontId="160" fillId="21" borderId="0" xfId="0" applyFont="1" applyFill="1" applyAlignment="1">
      <alignment horizontal="center" vertical="top" wrapText="1"/>
    </xf>
    <xf numFmtId="0" fontId="160" fillId="21" borderId="0" xfId="0" applyFont="1" applyFill="1" applyAlignment="1">
      <alignment vertical="top" wrapText="1"/>
    </xf>
    <xf numFmtId="0" fontId="0" fillId="46" borderId="0" xfId="0" applyFill="1" applyAlignment="1">
      <alignment vertical="top" wrapText="1"/>
    </xf>
    <xf numFmtId="0" fontId="118" fillId="46" borderId="0" xfId="0" applyFont="1" applyFill="1" applyAlignment="1">
      <alignment vertical="top" wrapText="1"/>
    </xf>
    <xf numFmtId="0" fontId="111" fillId="47" borderId="0" xfId="0" applyFont="1" applyFill="1" applyAlignment="1">
      <alignment horizontal="center" vertical="top" wrapText="1"/>
    </xf>
    <xf numFmtId="0" fontId="164" fillId="47" borderId="0" xfId="0" applyFont="1" applyFill="1" applyAlignment="1">
      <alignment horizontal="center" vertical="top" wrapText="1"/>
    </xf>
    <xf numFmtId="0" fontId="111" fillId="47" borderId="0" xfId="0" applyFont="1" applyFill="1" applyAlignment="1">
      <alignment vertical="top" wrapText="1"/>
    </xf>
    <xf numFmtId="0" fontId="0" fillId="47" borderId="0" xfId="0" applyFill="1" applyAlignment="1">
      <alignment vertical="top" wrapText="1"/>
    </xf>
    <xf numFmtId="0" fontId="166" fillId="47" borderId="0" xfId="0" applyFont="1" applyFill="1" applyAlignment="1">
      <alignment horizontal="center" vertical="top" wrapText="1"/>
    </xf>
    <xf numFmtId="0" fontId="0" fillId="47" borderId="0" xfId="0" applyFill="1" applyAlignment="1">
      <alignment horizontal="center" vertical="top" wrapText="1"/>
    </xf>
    <xf numFmtId="0" fontId="111" fillId="0" borderId="0" xfId="0" applyFont="1" applyAlignment="1">
      <alignment horizontal="center" vertical="top" wrapText="1"/>
    </xf>
    <xf numFmtId="0" fontId="164" fillId="0" borderId="0" xfId="0" applyFont="1" applyAlignment="1">
      <alignment horizontal="center" vertical="top" wrapText="1"/>
    </xf>
    <xf numFmtId="0" fontId="111" fillId="0" borderId="0" xfId="0" applyFont="1" applyAlignment="1">
      <alignment vertical="top" wrapText="1"/>
    </xf>
    <xf numFmtId="0" fontId="0" fillId="0" borderId="0" xfId="0" applyAlignment="1">
      <alignment vertical="top" wrapText="1"/>
    </xf>
    <xf numFmtId="0" fontId="166" fillId="0" borderId="0" xfId="0" applyFont="1" applyAlignment="1">
      <alignment horizontal="center" vertical="top" wrapText="1"/>
    </xf>
    <xf numFmtId="0" fontId="0" fillId="0" borderId="0" xfId="0" applyAlignment="1">
      <alignment horizontal="center" vertical="top" wrapText="1"/>
    </xf>
    <xf numFmtId="0" fontId="0" fillId="48" borderId="0" xfId="0" applyFill="1" applyAlignment="1">
      <alignment vertical="top" wrapText="1"/>
    </xf>
    <xf numFmtId="0" fontId="118" fillId="48" borderId="0" xfId="0" applyFont="1" applyFill="1" applyAlignment="1">
      <alignment horizontal="center" vertical="top" wrapText="1"/>
    </xf>
    <xf numFmtId="0" fontId="111" fillId="49" borderId="0" xfId="0" applyFont="1" applyFill="1" applyAlignment="1">
      <alignment horizontal="center" vertical="top" wrapText="1"/>
    </xf>
    <xf numFmtId="0" fontId="167" fillId="49" borderId="0" xfId="0" applyFont="1" applyFill="1" applyAlignment="1">
      <alignment horizontal="center" vertical="top" wrapText="1"/>
    </xf>
    <xf numFmtId="0" fontId="111" fillId="49" borderId="0" xfId="0" applyFont="1" applyFill="1" applyAlignment="1">
      <alignment vertical="top" wrapText="1"/>
    </xf>
    <xf numFmtId="0" fontId="0" fillId="49" borderId="0" xfId="0" applyFill="1" applyAlignment="1">
      <alignment vertical="top" wrapText="1"/>
    </xf>
    <xf numFmtId="0" fontId="166" fillId="49" borderId="0" xfId="0" applyFont="1" applyFill="1" applyAlignment="1">
      <alignment horizontal="center" vertical="top" wrapText="1"/>
    </xf>
    <xf numFmtId="0" fontId="0" fillId="49" borderId="0" xfId="0" applyFill="1" applyAlignment="1">
      <alignment horizontal="center" vertical="top" wrapText="1"/>
    </xf>
    <xf numFmtId="0" fontId="167" fillId="0" borderId="0" xfId="0" applyFont="1" applyAlignment="1">
      <alignment horizontal="center" vertical="top" wrapText="1"/>
    </xf>
    <xf numFmtId="0" fontId="0" fillId="50" borderId="0" xfId="0" applyFill="1" applyAlignment="1">
      <alignment vertical="top" wrapText="1"/>
    </xf>
    <xf numFmtId="0" fontId="118" fillId="50" borderId="0" xfId="0" applyFont="1" applyFill="1" applyAlignment="1">
      <alignment horizontal="center" vertical="top" wrapText="1"/>
    </xf>
    <xf numFmtId="0" fontId="111" fillId="51" borderId="0" xfId="0" applyFont="1" applyFill="1" applyAlignment="1">
      <alignment horizontal="center" vertical="top" wrapText="1"/>
    </xf>
    <xf numFmtId="0" fontId="168" fillId="51" borderId="0" xfId="0" applyFont="1" applyFill="1" applyAlignment="1">
      <alignment horizontal="center" vertical="top" wrapText="1"/>
    </xf>
    <xf numFmtId="0" fontId="111" fillId="51" borderId="0" xfId="0" applyFont="1" applyFill="1" applyAlignment="1">
      <alignment vertical="top" wrapText="1"/>
    </xf>
    <xf numFmtId="0" fontId="0" fillId="51" borderId="0" xfId="0" applyFill="1" applyAlignment="1">
      <alignment vertical="top" wrapText="1"/>
    </xf>
    <xf numFmtId="0" fontId="166" fillId="51" borderId="0" xfId="0" applyFont="1" applyFill="1" applyAlignment="1">
      <alignment horizontal="center" vertical="top" wrapText="1"/>
    </xf>
    <xf numFmtId="0" fontId="0" fillId="51" borderId="0" xfId="0" applyFill="1" applyAlignment="1">
      <alignment horizontal="center" vertical="top" wrapText="1"/>
    </xf>
    <xf numFmtId="0" fontId="168" fillId="0" borderId="0" xfId="0" applyFont="1" applyAlignment="1">
      <alignment horizontal="center" vertical="top" wrapText="1"/>
    </xf>
    <xf numFmtId="0" fontId="0" fillId="52" borderId="0" xfId="0" applyFill="1" applyAlignment="1">
      <alignment vertical="top" wrapText="1"/>
    </xf>
    <xf numFmtId="0" fontId="118" fillId="52" borderId="0" xfId="0" applyFont="1" applyFill="1" applyAlignment="1">
      <alignment horizontal="center" vertical="top" wrapText="1"/>
    </xf>
    <xf numFmtId="0" fontId="111" fillId="53" borderId="0" xfId="0" applyFont="1" applyFill="1" applyAlignment="1">
      <alignment horizontal="center" vertical="top" wrapText="1"/>
    </xf>
    <xf numFmtId="0" fontId="169" fillId="53" borderId="0" xfId="0" applyFont="1" applyFill="1" applyAlignment="1">
      <alignment horizontal="center" vertical="top" wrapText="1"/>
    </xf>
    <xf numFmtId="0" fontId="111" fillId="53" borderId="0" xfId="0" applyFont="1" applyFill="1" applyAlignment="1">
      <alignment vertical="top" wrapText="1"/>
    </xf>
    <xf numFmtId="0" fontId="0" fillId="53" borderId="0" xfId="0" applyFill="1" applyAlignment="1">
      <alignment vertical="top" wrapText="1"/>
    </xf>
    <xf numFmtId="0" fontId="166" fillId="53" borderId="0" xfId="0" applyFont="1" applyFill="1" applyAlignment="1">
      <alignment horizontal="center" vertical="top" wrapText="1"/>
    </xf>
    <xf numFmtId="0" fontId="0" fillId="53" borderId="0" xfId="0" applyFill="1" applyAlignment="1">
      <alignment horizontal="center" vertical="top" wrapText="1"/>
    </xf>
    <xf numFmtId="0" fontId="169" fillId="0" borderId="0" xfId="0" applyFont="1" applyAlignment="1">
      <alignment horizontal="center" vertical="top" wrapText="1"/>
    </xf>
    <xf numFmtId="0" fontId="0" fillId="54" borderId="0" xfId="0" applyFill="1" applyAlignment="1">
      <alignment vertical="top" wrapText="1"/>
    </xf>
    <xf numFmtId="0" fontId="118" fillId="54" borderId="0" xfId="0" applyFont="1" applyFill="1" applyAlignment="1">
      <alignment horizontal="center" vertical="top" wrapText="1"/>
    </xf>
    <xf numFmtId="0" fontId="111" fillId="55" borderId="0" xfId="0" applyFont="1" applyFill="1" applyAlignment="1">
      <alignment horizontal="center" vertical="top" wrapText="1"/>
    </xf>
    <xf numFmtId="0" fontId="170" fillId="55" borderId="0" xfId="0" applyFont="1" applyFill="1" applyAlignment="1">
      <alignment horizontal="center" vertical="top" wrapText="1"/>
    </xf>
    <xf numFmtId="0" fontId="111" fillId="55" borderId="0" xfId="0" applyFont="1" applyFill="1" applyAlignment="1">
      <alignment vertical="top" wrapText="1"/>
    </xf>
    <xf numFmtId="0" fontId="0" fillId="55" borderId="0" xfId="0" applyFill="1" applyAlignment="1">
      <alignment vertical="top" wrapText="1"/>
    </xf>
    <xf numFmtId="0" fontId="166" fillId="55" borderId="0" xfId="0" applyFont="1" applyFill="1" applyAlignment="1">
      <alignment horizontal="center" vertical="top" wrapText="1"/>
    </xf>
    <xf numFmtId="0" fontId="0" fillId="55" borderId="0" xfId="0" applyFill="1" applyAlignment="1">
      <alignment horizontal="center" vertical="top" wrapText="1"/>
    </xf>
    <xf numFmtId="0" fontId="170" fillId="0" borderId="0" xfId="0" applyFont="1" applyAlignment="1">
      <alignment horizontal="center" vertical="top" wrapText="1"/>
    </xf>
    <xf numFmtId="0" fontId="0" fillId="56" borderId="0" xfId="0" applyFill="1" applyAlignment="1">
      <alignment vertical="top" wrapText="1"/>
    </xf>
    <xf numFmtId="0" fontId="171" fillId="56" borderId="0" xfId="0" applyFont="1" applyFill="1" applyAlignment="1">
      <alignment horizontal="center" vertical="top" wrapText="1"/>
    </xf>
    <xf numFmtId="0" fontId="172" fillId="56" borderId="0" xfId="0" applyFont="1" applyFill="1" applyAlignment="1">
      <alignment vertical="top" wrapText="1"/>
    </xf>
    <xf numFmtId="0" fontId="111" fillId="13" borderId="0" xfId="0" applyFont="1" applyFill="1" applyAlignment="1">
      <alignment horizontal="center" vertical="top" wrapText="1"/>
    </xf>
    <xf numFmtId="0" fontId="173" fillId="13" borderId="0" xfId="0" applyFont="1" applyFill="1" applyAlignment="1">
      <alignment horizontal="center" vertical="top" wrapText="1"/>
    </xf>
    <xf numFmtId="0" fontId="111" fillId="13" borderId="0" xfId="0" applyFont="1" applyFill="1" applyAlignment="1">
      <alignment vertical="top" wrapText="1"/>
    </xf>
    <xf numFmtId="0" fontId="0" fillId="13" borderId="0" xfId="0" applyFill="1" applyAlignment="1">
      <alignment vertical="top" wrapText="1"/>
    </xf>
    <xf numFmtId="0" fontId="166" fillId="13" borderId="0" xfId="0" applyFont="1" applyFill="1" applyAlignment="1">
      <alignment horizontal="center" vertical="top" wrapText="1"/>
    </xf>
    <xf numFmtId="0" fontId="0" fillId="13" borderId="0" xfId="0" applyFill="1" applyAlignment="1">
      <alignment horizontal="center" vertical="top" wrapText="1"/>
    </xf>
    <xf numFmtId="0" fontId="173" fillId="0" borderId="0" xfId="0" applyFont="1" applyAlignment="1">
      <alignment horizontal="center" vertical="top" wrapText="1"/>
    </xf>
    <xf numFmtId="0" fontId="174" fillId="47" borderId="0" xfId="0" applyFont="1" applyFill="1" applyAlignment="1">
      <alignment horizontal="center" vertical="top" wrapText="1"/>
    </xf>
    <xf numFmtId="0" fontId="175" fillId="47" borderId="0" xfId="0" applyFont="1" applyFill="1" applyAlignment="1">
      <alignment vertical="top" wrapText="1"/>
    </xf>
    <xf numFmtId="0" fontId="119" fillId="47" borderId="0" xfId="0" applyFont="1" applyFill="1" applyAlignment="1">
      <alignment vertical="top" wrapText="1"/>
    </xf>
    <xf numFmtId="0" fontId="176" fillId="47" borderId="0" xfId="0" applyFont="1" applyFill="1" applyAlignment="1">
      <alignment horizontal="center" vertical="top" wrapText="1"/>
    </xf>
    <xf numFmtId="0" fontId="174" fillId="0" borderId="0" xfId="0" applyFont="1" applyAlignment="1">
      <alignment horizontal="center" vertical="top" wrapText="1"/>
    </xf>
    <xf numFmtId="0" fontId="175" fillId="0" borderId="0" xfId="0" applyFont="1" applyAlignment="1">
      <alignment vertical="top" wrapText="1"/>
    </xf>
    <xf numFmtId="0" fontId="176" fillId="0" borderId="0" xfId="0" applyFont="1" applyAlignment="1">
      <alignment horizontal="center" vertical="top" wrapText="1"/>
    </xf>
    <xf numFmtId="0" fontId="177" fillId="0" borderId="0" xfId="0" applyFont="1" applyAlignment="1">
      <alignment vertical="top" wrapText="1"/>
    </xf>
    <xf numFmtId="0" fontId="166" fillId="47" borderId="0" xfId="0" applyFont="1" applyFill="1" applyAlignment="1">
      <alignment vertical="top" wrapText="1"/>
    </xf>
    <xf numFmtId="0" fontId="166" fillId="0" borderId="0" xfId="0" applyFont="1" applyAlignment="1">
      <alignment vertical="top" wrapText="1"/>
    </xf>
    <xf numFmtId="0" fontId="118" fillId="48" borderId="0" xfId="0" applyFont="1" applyFill="1" applyAlignment="1">
      <alignment vertical="top" wrapText="1"/>
    </xf>
    <xf numFmtId="0" fontId="166" fillId="49" borderId="0" xfId="0" applyFont="1" applyFill="1" applyAlignment="1">
      <alignment vertical="top" wrapText="1"/>
    </xf>
    <xf numFmtId="0" fontId="165" fillId="49" borderId="0" xfId="0" applyFont="1" applyFill="1" applyAlignment="1">
      <alignment horizontal="center" vertical="top" wrapText="1"/>
    </xf>
    <xf numFmtId="0" fontId="165" fillId="0" borderId="0" xfId="0" applyFont="1" applyAlignment="1">
      <alignment horizontal="center" vertical="top" wrapText="1"/>
    </xf>
    <xf numFmtId="0" fontId="169" fillId="0" borderId="0" xfId="0" applyFont="1" applyAlignment="1">
      <alignment vertical="top" wrapText="1"/>
    </xf>
    <xf numFmtId="0" fontId="178" fillId="0" borderId="0" xfId="0" applyFont="1" applyAlignment="1">
      <alignment horizontal="center" vertical="top" wrapText="1"/>
    </xf>
    <xf numFmtId="0" fontId="169" fillId="53" borderId="0" xfId="0" applyFont="1" applyFill="1" applyAlignment="1">
      <alignment vertical="top" wrapText="1"/>
    </xf>
    <xf numFmtId="0" fontId="166" fillId="53" borderId="0" xfId="0" applyFont="1" applyFill="1" applyAlignment="1">
      <alignment vertical="top" wrapText="1"/>
    </xf>
    <xf numFmtId="0" fontId="178" fillId="53" borderId="0" xfId="0" applyFont="1" applyFill="1" applyAlignment="1">
      <alignment horizontal="center" vertical="top" wrapText="1"/>
    </xf>
    <xf numFmtId="0" fontId="179" fillId="21" borderId="0" xfId="0" applyFont="1" applyFill="1" applyAlignment="1">
      <alignment horizontal="center" vertical="center"/>
    </xf>
    <xf numFmtId="0" fontId="179" fillId="21" borderId="0" xfId="0" applyFont="1" applyFill="1" applyAlignment="1">
      <alignment vertical="center"/>
    </xf>
    <xf numFmtId="0" fontId="180" fillId="21" borderId="0" xfId="0" applyFont="1" applyFill="1" applyAlignment="1">
      <alignment horizontal="center" vertical="center"/>
    </xf>
    <xf numFmtId="0" fontId="0" fillId="46" borderId="0" xfId="0" applyFill="1" applyAlignment="1">
      <alignment vertical="center"/>
    </xf>
    <xf numFmtId="0" fontId="160" fillId="46" borderId="0" xfId="0" applyFont="1" applyFill="1" applyAlignment="1">
      <alignment vertical="center"/>
    </xf>
    <xf numFmtId="0" fontId="0" fillId="13" borderId="0" xfId="0" applyFill="1" applyAlignment="1">
      <alignment horizontal="center" vertical="center"/>
    </xf>
    <xf numFmtId="0" fontId="111" fillId="13" borderId="0" xfId="0" applyFont="1" applyFill="1" applyAlignment="1">
      <alignment vertical="center"/>
    </xf>
    <xf numFmtId="0" fontId="164" fillId="13" borderId="0" xfId="0" applyFont="1" applyFill="1" applyAlignment="1">
      <alignment horizontal="center" vertical="center"/>
    </xf>
    <xf numFmtId="0" fontId="0" fillId="0" borderId="0" xfId="0" applyAlignment="1">
      <alignment vertical="center"/>
    </xf>
    <xf numFmtId="0" fontId="111" fillId="0" borderId="0" xfId="0" applyFont="1" applyAlignment="1">
      <alignment vertical="center"/>
    </xf>
    <xf numFmtId="0" fontId="164" fillId="0" borderId="0" xfId="0" applyFont="1" applyAlignment="1">
      <alignment horizontal="center" vertical="center"/>
    </xf>
    <xf numFmtId="0" fontId="0" fillId="13" borderId="0" xfId="0" applyFill="1" applyAlignment="1">
      <alignment vertical="center"/>
    </xf>
    <xf numFmtId="0" fontId="0" fillId="48" borderId="0" xfId="0" applyFill="1" applyAlignment="1">
      <alignment vertical="center"/>
    </xf>
    <xf numFmtId="0" fontId="160" fillId="48" borderId="0" xfId="0" applyFont="1" applyFill="1" applyAlignment="1">
      <alignment vertical="center"/>
    </xf>
    <xf numFmtId="0" fontId="169" fillId="13" borderId="0" xfId="0" applyFont="1" applyFill="1" applyAlignment="1">
      <alignment horizontal="center" vertical="center"/>
    </xf>
    <xf numFmtId="0" fontId="169" fillId="0" borderId="0" xfId="0" applyFont="1" applyAlignment="1">
      <alignment vertical="center"/>
    </xf>
    <xf numFmtId="0" fontId="169" fillId="0" borderId="0" xfId="0" applyFont="1" applyAlignment="1">
      <alignment horizontal="center" vertical="center"/>
    </xf>
    <xf numFmtId="0" fontId="169" fillId="13" borderId="0" xfId="0" applyFont="1" applyFill="1" applyAlignment="1">
      <alignment vertical="center"/>
    </xf>
    <xf numFmtId="0" fontId="0" fillId="45" borderId="0" xfId="0" applyFill="1" applyAlignment="1">
      <alignment vertical="center"/>
    </xf>
    <xf numFmtId="0" fontId="181" fillId="45" borderId="0" xfId="0" applyFont="1" applyFill="1" applyAlignment="1">
      <alignment vertical="center"/>
    </xf>
    <xf numFmtId="0" fontId="182" fillId="45" borderId="0" xfId="0" applyFont="1" applyFill="1" applyAlignment="1">
      <alignment horizontal="center" vertical="center"/>
    </xf>
    <xf numFmtId="0" fontId="183" fillId="45" borderId="0" xfId="0" applyFont="1" applyFill="1" applyAlignment="1">
      <alignment horizontal="center" vertical="center"/>
    </xf>
    <xf numFmtId="0" fontId="160" fillId="21" borderId="0" xfId="0" applyFont="1" applyFill="1"/>
    <xf numFmtId="0" fontId="160" fillId="21" borderId="0" xfId="0" applyFont="1" applyFill="1" applyAlignment="1">
      <alignment horizontal="center"/>
    </xf>
    <xf numFmtId="0" fontId="186" fillId="45" borderId="0" xfId="0" applyFont="1" applyFill="1" applyAlignment="1">
      <alignment horizontal="center"/>
    </xf>
    <xf numFmtId="0" fontId="116" fillId="0" borderId="0" xfId="0" applyFont="1"/>
    <xf numFmtId="0" fontId="116" fillId="13" borderId="0" xfId="0" applyFont="1" applyFill="1"/>
    <xf numFmtId="0" fontId="0" fillId="13" borderId="0" xfId="0" applyFill="1"/>
    <xf numFmtId="0" fontId="0" fillId="13" borderId="0" xfId="0" applyFill="1" applyAlignment="1">
      <alignment horizontal="center"/>
    </xf>
    <xf numFmtId="165" fontId="0" fillId="13" borderId="0" xfId="0" applyNumberFormat="1" applyFill="1" applyAlignment="1">
      <alignment horizontal="center"/>
    </xf>
    <xf numFmtId="169" fontId="190" fillId="45" borderId="0" xfId="0" applyNumberFormat="1" applyFont="1" applyFill="1" applyAlignment="1">
      <alignment horizontal="center"/>
    </xf>
    <xf numFmtId="169" fontId="187" fillId="45" borderId="0" xfId="0" applyNumberFormat="1" applyFont="1" applyFill="1" applyAlignment="1">
      <alignment horizontal="center"/>
    </xf>
    <xf numFmtId="0" fontId="118" fillId="45" borderId="0" xfId="0" applyFont="1" applyFill="1"/>
    <xf numFmtId="0" fontId="191" fillId="57" borderId="0" xfId="0" applyFont="1" applyFill="1"/>
    <xf numFmtId="0" fontId="192" fillId="57" borderId="0" xfId="0" applyFont="1" applyFill="1" applyAlignment="1">
      <alignment horizontal="center"/>
    </xf>
    <xf numFmtId="169" fontId="192" fillId="57" borderId="0" xfId="0" applyNumberFormat="1" applyFont="1" applyFill="1" applyAlignment="1">
      <alignment horizontal="center"/>
    </xf>
    <xf numFmtId="0" fontId="181" fillId="57" borderId="0" xfId="0" applyFont="1" applyFill="1"/>
    <xf numFmtId="169" fontId="193" fillId="57" borderId="0" xfId="0" applyNumberFormat="1" applyFont="1" applyFill="1" applyAlignment="1">
      <alignment horizontal="center"/>
    </xf>
    <xf numFmtId="0" fontId="0" fillId="57" borderId="0" xfId="0" applyFill="1"/>
    <xf numFmtId="0" fontId="185" fillId="57" borderId="0" xfId="0" applyFont="1" applyFill="1"/>
    <xf numFmtId="0" fontId="194" fillId="57" borderId="0" xfId="0" applyFont="1" applyFill="1" applyAlignment="1">
      <alignment horizontal="center"/>
    </xf>
    <xf numFmtId="0" fontId="195" fillId="57" borderId="0" xfId="0" applyFont="1" applyFill="1" applyAlignment="1">
      <alignment horizontal="center"/>
    </xf>
    <xf numFmtId="0" fontId="196" fillId="57" borderId="0" xfId="0" applyFont="1" applyFill="1" applyAlignment="1">
      <alignment horizontal="center"/>
    </xf>
    <xf numFmtId="0" fontId="160" fillId="48" borderId="0" xfId="0" applyFont="1" applyFill="1"/>
    <xf numFmtId="0" fontId="0" fillId="48" borderId="0" xfId="0" applyFill="1"/>
    <xf numFmtId="0" fontId="197" fillId="49" borderId="0" xfId="0" applyFont="1" applyFill="1"/>
    <xf numFmtId="0" fontId="30" fillId="0" borderId="0" xfId="0" applyFont="1"/>
    <xf numFmtId="0" fontId="176" fillId="0" borderId="0" xfId="0" applyFont="1"/>
    <xf numFmtId="0" fontId="176" fillId="49" borderId="0" xfId="0" applyFont="1" applyFill="1"/>
    <xf numFmtId="0" fontId="30" fillId="49" borderId="0" xfId="0" applyFont="1" applyFill="1"/>
    <xf numFmtId="0" fontId="30" fillId="49" borderId="0" xfId="0" applyFont="1" applyFill="1" applyAlignment="1">
      <alignment horizontal="center"/>
    </xf>
    <xf numFmtId="0" fontId="198" fillId="49" borderId="0" xfId="0" applyFont="1" applyFill="1" applyAlignment="1">
      <alignment horizontal="center"/>
    </xf>
    <xf numFmtId="0" fontId="200" fillId="0" borderId="0" xfId="0" applyFont="1"/>
    <xf numFmtId="0" fontId="200" fillId="49" borderId="0" xfId="0" applyFont="1" applyFill="1" applyAlignment="1">
      <alignment horizontal="center"/>
    </xf>
    <xf numFmtId="0" fontId="201" fillId="0" borderId="0" xfId="0" applyFont="1"/>
    <xf numFmtId="0" fontId="30" fillId="0" borderId="0" xfId="0" applyFont="1" applyAlignment="1">
      <alignment horizontal="center"/>
    </xf>
    <xf numFmtId="0" fontId="198" fillId="0" borderId="0" xfId="0" applyFont="1" applyAlignment="1">
      <alignment horizontal="center"/>
    </xf>
    <xf numFmtId="0" fontId="200" fillId="0" borderId="0" xfId="0" applyFont="1" applyAlignment="1">
      <alignment horizontal="center"/>
    </xf>
    <xf numFmtId="0" fontId="201" fillId="49" borderId="0" xfId="0" applyFont="1" applyFill="1"/>
    <xf numFmtId="0" fontId="202" fillId="49" borderId="0" xfId="0" applyFont="1" applyFill="1" applyAlignment="1">
      <alignment horizontal="center"/>
    </xf>
    <xf numFmtId="0" fontId="202" fillId="0" borderId="0" xfId="0" applyFont="1" applyAlignment="1">
      <alignment horizontal="center"/>
    </xf>
    <xf numFmtId="0" fontId="199" fillId="0" borderId="0" xfId="0" applyFont="1" applyAlignment="1">
      <alignment horizontal="center"/>
    </xf>
    <xf numFmtId="0" fontId="160" fillId="46" borderId="0" xfId="0" applyFont="1" applyFill="1"/>
    <xf numFmtId="0" fontId="0" fillId="46" borderId="0" xfId="0" applyFill="1"/>
    <xf numFmtId="0" fontId="203" fillId="0" borderId="0" xfId="0" applyFont="1"/>
    <xf numFmtId="0" fontId="203" fillId="47" borderId="0" xfId="0" applyFont="1" applyFill="1"/>
    <xf numFmtId="0" fontId="176" fillId="47" borderId="0" xfId="0" applyFont="1" applyFill="1"/>
    <xf numFmtId="0" fontId="30" fillId="47" borderId="0" xfId="0" applyFont="1" applyFill="1"/>
    <xf numFmtId="0" fontId="30" fillId="47" borderId="0" xfId="0" applyFont="1" applyFill="1" applyAlignment="1">
      <alignment horizontal="center"/>
    </xf>
    <xf numFmtId="0" fontId="198" fillId="47" borderId="0" xfId="0" applyFont="1" applyFill="1" applyAlignment="1">
      <alignment horizontal="center"/>
    </xf>
    <xf numFmtId="0" fontId="204" fillId="47" borderId="0" xfId="0" applyFont="1" applyFill="1" applyAlignment="1">
      <alignment horizontal="center"/>
    </xf>
    <xf numFmtId="0" fontId="204" fillId="0" borderId="0" xfId="0" applyFont="1"/>
    <xf numFmtId="0" fontId="204" fillId="0" borderId="0" xfId="0" applyFont="1" applyAlignment="1">
      <alignment horizontal="center"/>
    </xf>
    <xf numFmtId="0" fontId="181" fillId="52" borderId="0" xfId="0" applyFont="1" applyFill="1"/>
    <xf numFmtId="0" fontId="0" fillId="52" borderId="0" xfId="0" applyFill="1"/>
    <xf numFmtId="0" fontId="0" fillId="21" borderId="0" xfId="0" applyFill="1"/>
    <xf numFmtId="0" fontId="205" fillId="0" borderId="0" xfId="0" applyFont="1"/>
    <xf numFmtId="0" fontId="205" fillId="51" borderId="0" xfId="0" applyFont="1" applyFill="1"/>
    <xf numFmtId="0" fontId="30" fillId="51" borderId="0" xfId="0" applyFont="1" applyFill="1"/>
    <xf numFmtId="0" fontId="0" fillId="51" borderId="0" xfId="0" applyFill="1"/>
    <xf numFmtId="0" fontId="200" fillId="51" borderId="0" xfId="0" applyFont="1" applyFill="1" applyAlignment="1">
      <alignment horizontal="center"/>
    </xf>
    <xf numFmtId="9" fontId="30" fillId="0" borderId="0" xfId="0" applyNumberFormat="1" applyFont="1" applyAlignment="1">
      <alignment horizontal="center"/>
    </xf>
    <xf numFmtId="9" fontId="30" fillId="51" borderId="0" xfId="0" applyNumberFormat="1" applyFont="1" applyFill="1" applyAlignment="1">
      <alignment horizontal="center"/>
    </xf>
    <xf numFmtId="0" fontId="184" fillId="46" borderId="0" xfId="0" applyFont="1" applyFill="1"/>
    <xf numFmtId="0" fontId="160" fillId="46" borderId="0" xfId="0" applyFont="1" applyFill="1" applyAlignment="1">
      <alignment horizontal="center"/>
    </xf>
    <xf numFmtId="0" fontId="206" fillId="45" borderId="0" xfId="0" applyFont="1" applyFill="1" applyAlignment="1">
      <alignment horizontal="center"/>
    </xf>
    <xf numFmtId="0" fontId="207" fillId="57" borderId="0" xfId="0" applyFont="1" applyFill="1"/>
    <xf numFmtId="0" fontId="208" fillId="57" borderId="0" xfId="0" applyFont="1" applyFill="1"/>
    <xf numFmtId="169" fontId="209" fillId="57" borderId="0" xfId="0" applyNumberFormat="1" applyFont="1" applyFill="1" applyAlignment="1">
      <alignment horizontal="center"/>
    </xf>
    <xf numFmtId="0" fontId="118" fillId="48" borderId="0" xfId="0" applyFont="1" applyFill="1"/>
    <xf numFmtId="0" fontId="210" fillId="49" borderId="0" xfId="0" applyFont="1" applyFill="1" applyAlignment="1">
      <alignment wrapText="1"/>
    </xf>
    <xf numFmtId="0" fontId="211" fillId="49" borderId="0" xfId="0" applyFont="1" applyFill="1" applyAlignment="1">
      <alignment wrapText="1"/>
    </xf>
    <xf numFmtId="0" fontId="212" fillId="49" borderId="0" xfId="0" applyFont="1" applyFill="1" applyAlignment="1">
      <alignment wrapText="1"/>
    </xf>
    <xf numFmtId="0" fontId="118" fillId="46" borderId="0" xfId="0" applyFont="1" applyFill="1"/>
    <xf numFmtId="0" fontId="203" fillId="47" borderId="0" xfId="0" applyFont="1" applyFill="1" applyAlignment="1">
      <alignment wrapText="1"/>
    </xf>
    <xf numFmtId="0" fontId="211" fillId="47" borderId="0" xfId="0" applyFont="1" applyFill="1" applyAlignment="1">
      <alignment wrapText="1"/>
    </xf>
    <xf numFmtId="0" fontId="212" fillId="47" borderId="0" xfId="0" applyFont="1" applyFill="1" applyAlignment="1">
      <alignment wrapText="1"/>
    </xf>
    <xf numFmtId="0" fontId="118" fillId="52" borderId="0" xfId="0" applyFont="1" applyFill="1"/>
    <xf numFmtId="0" fontId="213" fillId="53" borderId="0" xfId="0" applyFont="1" applyFill="1" applyAlignment="1">
      <alignment wrapText="1"/>
    </xf>
    <xf numFmtId="0" fontId="211" fillId="53" borderId="0" xfId="0" applyFont="1" applyFill="1" applyAlignment="1">
      <alignment wrapText="1"/>
    </xf>
    <xf numFmtId="0" fontId="212" fillId="53" borderId="0" xfId="0" applyFont="1" applyFill="1" applyAlignment="1">
      <alignment wrapText="1"/>
    </xf>
    <xf numFmtId="0" fontId="118" fillId="54" borderId="0" xfId="0" applyFont="1" applyFill="1"/>
    <xf numFmtId="0" fontId="0" fillId="54" borderId="0" xfId="0" applyFill="1"/>
    <xf numFmtId="0" fontId="176" fillId="55" borderId="0" xfId="0" applyFont="1" applyFill="1"/>
    <xf numFmtId="0" fontId="30" fillId="55" borderId="0" xfId="0" applyFont="1" applyFill="1" applyAlignment="1">
      <alignment horizontal="center"/>
    </xf>
    <xf numFmtId="0" fontId="204" fillId="55" borderId="0" xfId="0" applyFont="1" applyFill="1" applyAlignment="1">
      <alignment horizontal="center"/>
    </xf>
    <xf numFmtId="0" fontId="214" fillId="55" borderId="0" xfId="0" applyFont="1" applyFill="1"/>
    <xf numFmtId="0" fontId="204" fillId="55" borderId="0" xfId="0" applyFont="1" applyFill="1"/>
    <xf numFmtId="0" fontId="215" fillId="55" borderId="0" xfId="0" applyFont="1" applyFill="1"/>
    <xf numFmtId="0" fontId="211" fillId="55" borderId="0" xfId="0" applyFont="1" applyFill="1" applyAlignment="1">
      <alignment wrapText="1"/>
    </xf>
    <xf numFmtId="0" fontId="212" fillId="55" borderId="0" xfId="0" applyFont="1" applyFill="1" applyAlignment="1">
      <alignment wrapText="1"/>
    </xf>
    <xf numFmtId="0" fontId="118" fillId="50" borderId="0" xfId="0" applyFont="1" applyFill="1"/>
    <xf numFmtId="0" fontId="0" fillId="50" borderId="0" xfId="0" applyFill="1"/>
    <xf numFmtId="0" fontId="214" fillId="51" borderId="0" xfId="0" applyFont="1" applyFill="1"/>
    <xf numFmtId="0" fontId="211" fillId="51" borderId="0" xfId="0" applyFont="1" applyFill="1" applyAlignment="1">
      <alignment wrapText="1"/>
    </xf>
    <xf numFmtId="0" fontId="212" fillId="51" borderId="0" xfId="0" applyFont="1" applyFill="1" applyAlignment="1">
      <alignment wrapText="1"/>
    </xf>
    <xf numFmtId="0" fontId="118" fillId="21" borderId="0" xfId="0" applyFont="1" applyFill="1"/>
    <xf numFmtId="0" fontId="201" fillId="13" borderId="0" xfId="0" applyFont="1" applyFill="1"/>
    <xf numFmtId="0" fontId="211" fillId="13" borderId="0" xfId="0" applyFont="1" applyFill="1" applyAlignment="1">
      <alignment wrapText="1"/>
    </xf>
    <xf numFmtId="0" fontId="212" fillId="13" borderId="0" xfId="0" applyFont="1" applyFill="1" applyAlignment="1">
      <alignment wrapText="1"/>
    </xf>
    <xf numFmtId="0" fontId="112" fillId="28" borderId="0" xfId="0" applyFont="1" applyFill="1" applyAlignment="1">
      <alignment horizontal="left" vertical="center"/>
    </xf>
    <xf numFmtId="0" fontId="112" fillId="28" borderId="0" xfId="0" applyFont="1" applyFill="1"/>
    <xf numFmtId="0" fontId="113" fillId="28" borderId="0" xfId="0" applyFont="1" applyFill="1"/>
    <xf numFmtId="0" fontId="0" fillId="0" borderId="0" xfId="0" applyAlignment="1">
      <alignment wrapText="1"/>
    </xf>
    <xf numFmtId="0" fontId="4" fillId="4" borderId="0" xfId="0" applyFont="1" applyFill="1" applyAlignment="1">
      <alignment horizontal="left" vertical="center"/>
    </xf>
    <xf numFmtId="0" fontId="0" fillId="0" borderId="0" xfId="0"/>
    <xf numFmtId="0" fontId="9" fillId="5" borderId="1" xfId="0" applyFont="1" applyFill="1" applyBorder="1"/>
    <xf numFmtId="0" fontId="3" fillId="6" borderId="1" xfId="0" applyFont="1" applyFill="1" applyBorder="1" applyAlignment="1">
      <alignment vertical="top" wrapText="1"/>
    </xf>
    <xf numFmtId="0" fontId="3" fillId="3" borderId="0" xfId="0" applyFont="1" applyFill="1" applyAlignment="1">
      <alignment horizontal="center" vertical="center"/>
    </xf>
    <xf numFmtId="0" fontId="3" fillId="5" borderId="1" xfId="0" applyFont="1" applyFill="1" applyBorder="1" applyAlignment="1">
      <alignment vertical="top" wrapText="1"/>
    </xf>
    <xf numFmtId="0" fontId="0" fillId="0" borderId="4" xfId="0" applyBorder="1"/>
    <xf numFmtId="0" fontId="0" fillId="0" borderId="5" xfId="0" applyBorder="1"/>
    <xf numFmtId="0" fontId="7" fillId="7" borderId="0" xfId="0" applyFont="1" applyFill="1" applyAlignment="1">
      <alignment horizontal="left" vertical="center"/>
    </xf>
    <xf numFmtId="0" fontId="2" fillId="3" borderId="0" xfId="0" applyFont="1" applyFill="1" applyAlignment="1">
      <alignment horizontal="center" vertical="center"/>
    </xf>
    <xf numFmtId="0" fontId="6" fillId="6" borderId="1" xfId="0" applyFont="1" applyFill="1" applyBorder="1" applyAlignment="1">
      <alignment vertical="top" wrapText="1"/>
    </xf>
    <xf numFmtId="0" fontId="10" fillId="3" borderId="0" xfId="0" applyFont="1" applyFill="1" applyAlignment="1">
      <alignment horizontal="center" vertical="center"/>
    </xf>
    <xf numFmtId="0" fontId="11" fillId="3" borderId="0" xfId="0" applyFont="1" applyFill="1" applyAlignment="1">
      <alignment horizontal="center" vertical="center"/>
    </xf>
    <xf numFmtId="0" fontId="2" fillId="11" borderId="0" xfId="0" applyFont="1" applyFill="1" applyAlignment="1">
      <alignment horizontal="center" vertical="top"/>
    </xf>
    <xf numFmtId="0" fontId="3" fillId="11" borderId="0" xfId="0" applyFont="1" applyFill="1" applyAlignment="1">
      <alignment horizontal="center" vertical="top"/>
    </xf>
    <xf numFmtId="0" fontId="60" fillId="11" borderId="0" xfId="0" applyFont="1" applyFill="1" applyAlignment="1">
      <alignment horizontal="center"/>
    </xf>
    <xf numFmtId="0" fontId="2" fillId="11" borderId="0" xfId="0" applyFont="1" applyFill="1" applyAlignment="1">
      <alignment horizontal="center"/>
    </xf>
    <xf numFmtId="0" fontId="3" fillId="11" borderId="0" xfId="0" applyFont="1" applyFill="1" applyAlignment="1">
      <alignment horizontal="center"/>
    </xf>
    <xf numFmtId="0" fontId="24" fillId="11" borderId="0" xfId="0" applyFont="1" applyFill="1" applyAlignment="1">
      <alignment horizontal="center"/>
    </xf>
    <xf numFmtId="0" fontId="22" fillId="14" borderId="0" xfId="0" applyFont="1" applyFill="1"/>
    <xf numFmtId="0" fontId="4" fillId="12" borderId="0" xfId="0" applyFont="1" applyFill="1" applyAlignment="1">
      <alignment horizontal="left"/>
    </xf>
    <xf numFmtId="0" fontId="7" fillId="15" borderId="9" xfId="0" applyFont="1" applyFill="1" applyBorder="1"/>
    <xf numFmtId="0" fontId="4" fillId="12" borderId="9" xfId="0" applyFont="1" applyFill="1" applyBorder="1" applyAlignment="1">
      <alignment horizontal="left"/>
    </xf>
    <xf numFmtId="0" fontId="8" fillId="12" borderId="0" xfId="0" applyFont="1" applyFill="1" applyAlignment="1">
      <alignment horizontal="left"/>
    </xf>
    <xf numFmtId="0" fontId="3" fillId="14" borderId="0" xfId="0" applyFont="1" applyFill="1"/>
    <xf numFmtId="0" fontId="47" fillId="12" borderId="0" xfId="0" applyFont="1" applyFill="1" applyAlignment="1">
      <alignment horizontal="left"/>
    </xf>
    <xf numFmtId="0" fontId="7" fillId="15" borderId="9" xfId="0" applyFont="1" applyFill="1" applyBorder="1" applyAlignment="1">
      <alignment horizontal="center"/>
    </xf>
    <xf numFmtId="0" fontId="7" fillId="15" borderId="0" xfId="0" applyFont="1" applyFill="1"/>
    <xf numFmtId="0" fontId="57" fillId="11" borderId="0" xfId="0" applyFont="1" applyFill="1"/>
    <xf numFmtId="0" fontId="11" fillId="11" borderId="0" xfId="0" applyFont="1" applyFill="1" applyAlignment="1">
      <alignment horizontal="center"/>
    </xf>
    <xf numFmtId="0" fontId="35" fillId="12" borderId="9" xfId="0" applyFont="1" applyFill="1" applyBorder="1"/>
    <xf numFmtId="0" fontId="35" fillId="12" borderId="0" xfId="0" applyFont="1" applyFill="1"/>
    <xf numFmtId="0" fontId="58" fillId="11" borderId="0" xfId="0" applyFont="1" applyFill="1"/>
    <xf numFmtId="0" fontId="69" fillId="20" borderId="0" xfId="0" applyFont="1" applyFill="1"/>
    <xf numFmtId="0" fontId="4" fillId="12" borderId="0" xfId="0" applyFont="1" applyFill="1"/>
    <xf numFmtId="0" fontId="8" fillId="12" borderId="0" xfId="0" applyFont="1" applyFill="1"/>
    <xf numFmtId="0" fontId="4" fillId="19" borderId="0" xfId="0" applyFont="1" applyFill="1"/>
    <xf numFmtId="0" fontId="45" fillId="18" borderId="0" xfId="0" applyFont="1" applyFill="1"/>
    <xf numFmtId="0" fontId="45" fillId="20" borderId="0" xfId="0" applyFont="1" applyFill="1"/>
    <xf numFmtId="0" fontId="77" fillId="11" borderId="0" xfId="0" applyFont="1" applyFill="1" applyAlignment="1">
      <alignment horizontal="center"/>
    </xf>
    <xf numFmtId="0" fontId="8" fillId="12" borderId="51" xfId="0" applyFont="1" applyFill="1" applyBorder="1"/>
    <xf numFmtId="0" fontId="50" fillId="15" borderId="0" xfId="0" applyFont="1" applyFill="1"/>
    <xf numFmtId="0" fontId="60" fillId="11" borderId="0" xfId="0" applyFont="1" applyFill="1"/>
    <xf numFmtId="0" fontId="79" fillId="11" borderId="0" xfId="0" applyFont="1" applyFill="1"/>
    <xf numFmtId="0" fontId="104" fillId="11" borderId="0" xfId="0" applyFont="1" applyFill="1"/>
    <xf numFmtId="0" fontId="35" fillId="19" borderId="0" xfId="0" applyFont="1" applyFill="1" applyAlignment="1">
      <alignment horizontal="center"/>
    </xf>
    <xf numFmtId="0" fontId="35" fillId="19" borderId="55" xfId="0" applyFont="1" applyFill="1" applyBorder="1" applyAlignment="1">
      <alignment horizontal="center"/>
    </xf>
    <xf numFmtId="0" fontId="79" fillId="11" borderId="0" xfId="0" applyFont="1" applyFill="1" applyAlignment="1">
      <alignment horizontal="center"/>
    </xf>
    <xf numFmtId="0" fontId="7" fillId="1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71"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99249E-0F3E-4D7D-B5E4-690EDF8A34DD}">
  <we:reference id="wa200009404" version="1.0.0.8" store="en-US" storeType="OMEX"/>
  <we:alternateReferences>
    <we:reference id="wa200009404" version="1.0.0.8" store="" storeType="OMEX"/>
  </we:alternateReferences>
  <we:properties>
    <we:property name="claude.fileId" value="&quot;9c531ad2-d661-42b6-b89b-69e0a2453a4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5A3D-0A4F-475E-9352-0CF9405A838D}">
  <dimension ref="A1:Y26"/>
  <sheetViews>
    <sheetView topLeftCell="E1" workbookViewId="0">
      <pane ySplit="2" topLeftCell="A3" activePane="bottomLeft" state="frozen"/>
      <selection pane="bottomLeft" activeCell="Z3" sqref="Z1:Z1048576"/>
    </sheetView>
  </sheetViews>
  <sheetFormatPr defaultRowHeight="14.4" outlineLevelCol="1"/>
  <cols>
    <col min="1" max="1" width="5.5546875" customWidth="1"/>
    <col min="2" max="2" width="37" customWidth="1"/>
    <col min="3" max="3" width="14.77734375" customWidth="1"/>
    <col min="4" max="4" width="22.21875" customWidth="1"/>
    <col min="5" max="5" width="18.5546875" customWidth="1"/>
    <col min="6" max="6" width="5.5546875" customWidth="1"/>
    <col min="7" max="7" width="27.77734375" customWidth="1"/>
    <col min="8" max="8" width="11.109375" customWidth="1"/>
    <col min="9" max="9" width="13" customWidth="1"/>
    <col min="10" max="10" width="11.109375" customWidth="1"/>
    <col min="11" max="11" width="27.77734375" customWidth="1"/>
    <col min="12" max="13" width="18.5546875" customWidth="1"/>
    <col min="14" max="14" width="22.21875" customWidth="1"/>
    <col min="15" max="17" width="11.109375" customWidth="1"/>
    <col min="18" max="19" width="22.21875" customWidth="1"/>
    <col min="20" max="20" width="0.33203125" customWidth="1"/>
    <col min="21" max="24" width="11.109375" hidden="1" customWidth="1" outlineLevel="1"/>
    <col min="25" max="25" width="11.109375" customWidth="1" outlineLevel="1" collapsed="1"/>
  </cols>
  <sheetData>
    <row r="1" spans="1:25" ht="21">
      <c r="A1" s="496" t="s">
        <v>3608</v>
      </c>
      <c r="B1" s="497"/>
      <c r="C1" s="497"/>
      <c r="D1" s="497"/>
      <c r="E1" s="497"/>
      <c r="F1" s="497"/>
      <c r="G1" s="497"/>
      <c r="H1" s="498" t="s">
        <v>3609</v>
      </c>
      <c r="I1" s="497"/>
      <c r="J1" s="497"/>
      <c r="K1" s="497"/>
      <c r="L1" s="643"/>
      <c r="M1" s="643"/>
      <c r="N1" s="643"/>
      <c r="O1" s="663" t="s">
        <v>3746</v>
      </c>
      <c r="P1" s="643"/>
      <c r="Q1" s="643"/>
      <c r="R1" s="643"/>
      <c r="S1" s="643"/>
      <c r="T1" s="497"/>
    </row>
    <row r="2" spans="1:25">
      <c r="A2" s="603" t="s">
        <v>3610</v>
      </c>
      <c r="B2" s="603" t="s">
        <v>3611</v>
      </c>
      <c r="C2" s="603" t="s">
        <v>3612</v>
      </c>
      <c r="D2" s="603" t="s">
        <v>3613</v>
      </c>
      <c r="E2" s="603" t="s">
        <v>3614</v>
      </c>
      <c r="F2" s="603" t="s">
        <v>3230</v>
      </c>
      <c r="G2" s="603" t="s">
        <v>3615</v>
      </c>
      <c r="H2" s="603" t="s">
        <v>3616</v>
      </c>
      <c r="I2" s="603" t="s">
        <v>3617</v>
      </c>
      <c r="J2" s="603" t="s">
        <v>3618</v>
      </c>
      <c r="K2" s="603" t="s">
        <v>1850</v>
      </c>
      <c r="L2" s="664" t="s">
        <v>3692</v>
      </c>
      <c r="M2" s="664" t="s">
        <v>3697</v>
      </c>
      <c r="N2" s="664" t="s">
        <v>3700</v>
      </c>
      <c r="O2" s="664" t="s">
        <v>3704</v>
      </c>
      <c r="P2" s="664" t="s">
        <v>3707</v>
      </c>
      <c r="Q2" s="664" t="s">
        <v>3710</v>
      </c>
      <c r="R2" s="664" t="s">
        <v>3713</v>
      </c>
      <c r="S2" s="664" t="s">
        <v>3717</v>
      </c>
      <c r="T2" s="497"/>
      <c r="U2" s="604" t="s">
        <v>3747</v>
      </c>
      <c r="V2" s="604" t="s">
        <v>3619</v>
      </c>
      <c r="W2" s="604" t="s">
        <v>3748</v>
      </c>
      <c r="X2" s="604" t="s">
        <v>3620</v>
      </c>
      <c r="Y2" s="665" t="s">
        <v>3749</v>
      </c>
    </row>
    <row r="3" spans="1:25">
      <c r="A3" s="606" t="s">
        <v>3621</v>
      </c>
      <c r="B3" s="607"/>
      <c r="C3" s="607"/>
      <c r="D3" s="607"/>
      <c r="E3" s="607"/>
      <c r="F3" s="608"/>
      <c r="G3" s="607"/>
      <c r="H3" s="609"/>
      <c r="I3" s="608"/>
      <c r="J3" s="608"/>
      <c r="K3" s="607"/>
      <c r="L3" s="607"/>
      <c r="M3" s="607"/>
      <c r="N3" s="607"/>
      <c r="O3" s="608"/>
      <c r="P3" s="609"/>
      <c r="Q3" s="609"/>
      <c r="R3" s="607"/>
      <c r="S3" s="607"/>
      <c r="T3" s="497"/>
      <c r="U3" s="610">
        <f>IF(COUNTA(A3:S3)=0,"",ROUND((COUNTA(B3:S3)/18)*100,0))</f>
        <v>0</v>
      </c>
      <c r="V3" s="610" t="str">
        <f>IF(F3="","",IF(F3="T1",100,IF(F3="T2",80,IF(F3="T3",60,IF(F3="T4",35,IF(F3="T5",15,IF(F3="N",50,0)))))))</f>
        <v/>
      </c>
      <c r="W3" s="610" t="str">
        <f>IF(OR(A3="",E3=""),"",_xlfn.LET(_xlpm.tag_valid,COUNTIF(EVIDENCE_TAXONOMY!F4:F46,E3)&gt;0,_xlpm.tier_filled,F3&lt;&gt;"",_xlpm.status_valid,OR(I3="verified",I3="pending",I3="disputed",I3="unverifiable",I3=""),_xlpm.corr_ok,IF(OR(F3="T4",F3="T5"),J3&gt;0,TRUE),_xlpm.checks,_xlpm.tag_valid+_xlpm.tier_filled+_xlpm.status_valid+_xlpm.corr_ok,ROUND((_xlpm.checks/4)*100,0)))</f>
        <v/>
      </c>
      <c r="X3" s="611">
        <f>IF(AND(U3&lt;&gt;"",V3&lt;&gt;"",W3&lt;&gt;""),ROUND((U3*0.3+V3*0.4+W3*0.3),0),IF(U3&lt;&gt;"",U3,""))</f>
        <v>0</v>
      </c>
      <c r="Y3" s="665" t="str">
        <f>IF(B3="","",_xlfn.LET(_xlpm.core_filled,AND(B3&lt;&gt;"",E3&lt;&gt;"",F3&lt;&gt;"",G3&lt;&gt;"",I3&lt;&gt;""),_xlpm.author_ok,OR(L3&lt;&gt;"",M3&lt;&gt;""),_xlpm.rating_ok,O3&lt;&gt;"",_xlpm.corr_ok,IF(OR(F3="T4",F3="T5"),J3&gt;=2,TRUE),_xlpm.quality_ok,V3&gt;=60,_xlpm.composite_ok,X3&gt;=65,_xlpm.gates_pass,AND(_xlpm.core_filled,_xlpm.author_ok,_xlpm.rating_ok,_xlpm.corr_ok,_xlpm.quality_ok,_xlpm.composite_ok),IF(_xlpm.gates_pass,"✅ READY","❌ BLOCKED")))</f>
        <v/>
      </c>
    </row>
    <row r="4" spans="1:25">
      <c r="A4" s="605" t="s">
        <v>3622</v>
      </c>
      <c r="T4" s="497"/>
      <c r="U4" s="610">
        <f>IF(COUNTA(A4:S4)=0,"",ROUND((COUNTA(B4:S4)/18)*100,0))</f>
        <v>0</v>
      </c>
      <c r="V4" s="610" t="str">
        <f>IF(F4="","",IF(F4="T1",100,IF(F4="T2",80,IF(F4="T3",60,IF(F4="T4",35,IF(F4="T5",15,IF(F4="N",50,0)))))))</f>
        <v/>
      </c>
      <c r="W4" s="610" t="str">
        <f>IF(OR(A4="",E4=""),"",_xlfn.LET(_xlpm.tag_valid,COUNTIF(EVIDENCE_TAXONOMY!F4:F46,E4)&gt;0,_xlpm.tier_filled,F4&lt;&gt;"",_xlpm.status_valid,OR(I4="verified",I4="pending",I4="disputed",I4="unverifiable",I4=""),_xlpm.corr_ok,IF(OR(F4="T4",F4="T5"),J4&gt;0,TRUE),_xlpm.checks,_xlpm.tag_valid+_xlpm.tier_filled+_xlpm.status_valid+_xlpm.corr_ok,ROUND((_xlpm.checks/4)*100,0)))</f>
        <v/>
      </c>
      <c r="X4" s="611">
        <f>IF(AND(U4&lt;&gt;"",V4&lt;&gt;"",W4&lt;&gt;""),ROUND((U4*0.3+V4*0.4+W4*0.3),0),IF(U4&lt;&gt;"",U4,""))</f>
        <v>0</v>
      </c>
      <c r="Y4" s="665" t="str">
        <f>IF(B4="","",_xlfn.LET(_xlpm.core_filled,AND(B4&lt;&gt;"",E4&lt;&gt;"",F4&lt;&gt;"",G4&lt;&gt;"",I4&lt;&gt;""),_xlpm.author_ok,OR(L4&lt;&gt;"",M4&lt;&gt;""),_xlpm.rating_ok,O4&lt;&gt;"",_xlpm.corr_ok,IF(OR(F4="T4",F4="T5"),J4&gt;=2,TRUE),_xlpm.quality_ok,V4&gt;=60,_xlpm.composite_ok,X4&gt;=65,_xlpm.gates_pass,AND(_xlpm.core_filled,_xlpm.author_ok,_xlpm.rating_ok,_xlpm.corr_ok,_xlpm.quality_ok,_xlpm.composite_ok),IF(_xlpm.gates_pass,"✅ READY","❌ BLOCKED")))</f>
        <v/>
      </c>
    </row>
    <row r="5" spans="1:25">
      <c r="A5" s="606" t="s">
        <v>3623</v>
      </c>
      <c r="T5" s="497"/>
      <c r="U5" s="610">
        <f t="shared" ref="U5:U22" si="0">IF(COUNTA(A5:S5)=0,"",ROUND((COUNTA(B5:S5)/18)*100,0))</f>
        <v>0</v>
      </c>
      <c r="V5" s="610" t="str">
        <f t="shared" ref="V5:V22" si="1">IF(F5="","",IF(F5="T1",100,IF(F5="T2",80,IF(F5="T3",60,IF(F5="T4",35,IF(F5="T5",15,IF(F5="N",50,0)))))))</f>
        <v/>
      </c>
      <c r="W5" s="610" t="str">
        <f>IF(OR(A5="",E5=""),"",_xlfn.LET(_xlpm.tag_valid,COUNTIF(EVIDENCE_TAXONOMY!F5:F47,E5)&gt;0,_xlpm.tier_filled,F5&lt;&gt;"",_xlpm.status_valid,OR(I5="verified",I5="pending",I5="disputed",I5="unverifiable",I5=""),_xlpm.corr_ok,IF(OR(F5="T4",F5="T5"),J5&gt;0,TRUE),_xlpm.checks,_xlpm.tag_valid+_xlpm.tier_filled+_xlpm.status_valid+_xlpm.corr_ok,ROUND((_xlpm.checks/4)*100,0)))</f>
        <v/>
      </c>
      <c r="X5" s="611">
        <f t="shared" ref="X5:X22" si="2">IF(AND(U5&lt;&gt;"",V5&lt;&gt;"",W5&lt;&gt;""),ROUND((U5*0.3+V5*0.4+W5*0.3),0),IF(U5&lt;&gt;"",U5,""))</f>
        <v>0</v>
      </c>
      <c r="Y5" s="665" t="str">
        <f t="shared" ref="Y5:Y22" si="3">IF(B5="","",_xlfn.LET(_xlpm.core_filled,AND(B5&lt;&gt;"",E5&lt;&gt;"",F5&lt;&gt;"",G5&lt;&gt;"",I5&lt;&gt;""),_xlpm.author_ok,OR(L5&lt;&gt;"",M5&lt;&gt;""),_xlpm.rating_ok,O5&lt;&gt;"",_xlpm.corr_ok,IF(OR(F5="T4",F5="T5"),J5&gt;=2,TRUE),_xlpm.quality_ok,V5&gt;=60,_xlpm.composite_ok,X5&gt;=65,_xlpm.gates_pass,AND(_xlpm.core_filled,_xlpm.author_ok,_xlpm.rating_ok,_xlpm.corr_ok,_xlpm.quality_ok,_xlpm.composite_ok),IF(_xlpm.gates_pass,"✅ READY","❌ BLOCKED")))</f>
        <v/>
      </c>
    </row>
    <row r="6" spans="1:25">
      <c r="A6" s="605" t="s">
        <v>3624</v>
      </c>
      <c r="T6" s="497"/>
      <c r="U6" s="610">
        <f t="shared" si="0"/>
        <v>0</v>
      </c>
      <c r="V6" s="610" t="str">
        <f t="shared" si="1"/>
        <v/>
      </c>
      <c r="W6" s="610" t="str">
        <f>IF(OR(A6="",E6=""),"",_xlfn.LET(_xlpm.tag_valid,COUNTIF(EVIDENCE_TAXONOMY!F6:F48,E6)&gt;0,_xlpm.tier_filled,F6&lt;&gt;"",_xlpm.status_valid,OR(I6="verified",I6="pending",I6="disputed",I6="unverifiable",I6=""),_xlpm.corr_ok,IF(OR(F6="T4",F6="T5"),J6&gt;0,TRUE),_xlpm.checks,_xlpm.tag_valid+_xlpm.tier_filled+_xlpm.status_valid+_xlpm.corr_ok,ROUND((_xlpm.checks/4)*100,0)))</f>
        <v/>
      </c>
      <c r="X6" s="611">
        <f t="shared" si="2"/>
        <v>0</v>
      </c>
      <c r="Y6" s="665" t="str">
        <f t="shared" si="3"/>
        <v/>
      </c>
    </row>
    <row r="7" spans="1:25">
      <c r="A7" s="606" t="s">
        <v>3625</v>
      </c>
      <c r="T7" s="497"/>
      <c r="U7" s="610">
        <f t="shared" si="0"/>
        <v>0</v>
      </c>
      <c r="V7" s="610" t="str">
        <f t="shared" si="1"/>
        <v/>
      </c>
      <c r="W7" s="610" t="str">
        <f>IF(OR(A7="",E7=""),"",_xlfn.LET(_xlpm.tag_valid,COUNTIF(EVIDENCE_TAXONOMY!F7:F49,E7)&gt;0,_xlpm.tier_filled,F7&lt;&gt;"",_xlpm.status_valid,OR(I7="verified",I7="pending",I7="disputed",I7="unverifiable",I7=""),_xlpm.corr_ok,IF(OR(F7="T4",F7="T5"),J7&gt;0,TRUE),_xlpm.checks,_xlpm.tag_valid+_xlpm.tier_filled+_xlpm.status_valid+_xlpm.corr_ok,ROUND((_xlpm.checks/4)*100,0)))</f>
        <v/>
      </c>
      <c r="X7" s="611">
        <f t="shared" si="2"/>
        <v>0</v>
      </c>
      <c r="Y7" s="665" t="str">
        <f t="shared" si="3"/>
        <v/>
      </c>
    </row>
    <row r="8" spans="1:25">
      <c r="A8" s="605" t="s">
        <v>3626</v>
      </c>
      <c r="T8" s="497"/>
      <c r="U8" s="610">
        <f t="shared" si="0"/>
        <v>0</v>
      </c>
      <c r="V8" s="610" t="str">
        <f t="shared" si="1"/>
        <v/>
      </c>
      <c r="W8" s="610" t="str">
        <f>IF(OR(A8="",E8=""),"",_xlfn.LET(_xlpm.tag_valid,COUNTIF(EVIDENCE_TAXONOMY!F8:F50,E8)&gt;0,_xlpm.tier_filled,F8&lt;&gt;"",_xlpm.status_valid,OR(I8="verified",I8="pending",I8="disputed",I8="unverifiable",I8=""),_xlpm.corr_ok,IF(OR(F8="T4",F8="T5"),J8&gt;0,TRUE),_xlpm.checks,_xlpm.tag_valid+_xlpm.tier_filled+_xlpm.status_valid+_xlpm.corr_ok,ROUND((_xlpm.checks/4)*100,0)))</f>
        <v/>
      </c>
      <c r="X8" s="611">
        <f t="shared" si="2"/>
        <v>0</v>
      </c>
      <c r="Y8" s="665" t="str">
        <f t="shared" si="3"/>
        <v/>
      </c>
    </row>
    <row r="9" spans="1:25">
      <c r="A9" s="606" t="s">
        <v>3627</v>
      </c>
      <c r="T9" s="497"/>
      <c r="U9" s="610">
        <f t="shared" si="0"/>
        <v>0</v>
      </c>
      <c r="V9" s="610" t="str">
        <f t="shared" si="1"/>
        <v/>
      </c>
      <c r="W9" s="610" t="str">
        <f>IF(OR(A9="",E9=""),"",_xlfn.LET(_xlpm.tag_valid,COUNTIF(EVIDENCE_TAXONOMY!F9:F51,E9)&gt;0,_xlpm.tier_filled,F9&lt;&gt;"",_xlpm.status_valid,OR(I9="verified",I9="pending",I9="disputed",I9="unverifiable",I9=""),_xlpm.corr_ok,IF(OR(F9="T4",F9="T5"),J9&gt;0,TRUE),_xlpm.checks,_xlpm.tag_valid+_xlpm.tier_filled+_xlpm.status_valid+_xlpm.corr_ok,ROUND((_xlpm.checks/4)*100,0)))</f>
        <v/>
      </c>
      <c r="X9" s="611">
        <f t="shared" si="2"/>
        <v>0</v>
      </c>
      <c r="Y9" s="665" t="str">
        <f t="shared" si="3"/>
        <v/>
      </c>
    </row>
    <row r="10" spans="1:25">
      <c r="A10" s="605" t="s">
        <v>3628</v>
      </c>
      <c r="T10" s="497"/>
      <c r="U10" s="610">
        <f t="shared" si="0"/>
        <v>0</v>
      </c>
      <c r="V10" s="610" t="str">
        <f t="shared" si="1"/>
        <v/>
      </c>
      <c r="W10" s="610" t="str">
        <f>IF(OR(A10="",E10=""),"",_xlfn.LET(_xlpm.tag_valid,COUNTIF(EVIDENCE_TAXONOMY!F10:F52,E10)&gt;0,_xlpm.tier_filled,F10&lt;&gt;"",_xlpm.status_valid,OR(I10="verified",I10="pending",I10="disputed",I10="unverifiable",I10=""),_xlpm.corr_ok,IF(OR(F10="T4",F10="T5"),J10&gt;0,TRUE),_xlpm.checks,_xlpm.tag_valid+_xlpm.tier_filled+_xlpm.status_valid+_xlpm.corr_ok,ROUND((_xlpm.checks/4)*100,0)))</f>
        <v/>
      </c>
      <c r="X10" s="611">
        <f t="shared" si="2"/>
        <v>0</v>
      </c>
      <c r="Y10" s="665" t="str">
        <f t="shared" si="3"/>
        <v/>
      </c>
    </row>
    <row r="11" spans="1:25">
      <c r="A11" s="606" t="s">
        <v>3629</v>
      </c>
      <c r="T11" s="497"/>
      <c r="U11" s="610">
        <f t="shared" si="0"/>
        <v>0</v>
      </c>
      <c r="V11" s="610" t="str">
        <f t="shared" si="1"/>
        <v/>
      </c>
      <c r="W11" s="610" t="str">
        <f>IF(OR(A11="",E11=""),"",_xlfn.LET(_xlpm.tag_valid,COUNTIF(EVIDENCE_TAXONOMY!F11:F53,E11)&gt;0,_xlpm.tier_filled,F11&lt;&gt;"",_xlpm.status_valid,OR(I11="verified",I11="pending",I11="disputed",I11="unverifiable",I11=""),_xlpm.corr_ok,IF(OR(F11="T4",F11="T5"),J11&gt;0,TRUE),_xlpm.checks,_xlpm.tag_valid+_xlpm.tier_filled+_xlpm.status_valid+_xlpm.corr_ok,ROUND((_xlpm.checks/4)*100,0)))</f>
        <v/>
      </c>
      <c r="X11" s="611">
        <f t="shared" si="2"/>
        <v>0</v>
      </c>
      <c r="Y11" s="665" t="str">
        <f t="shared" si="3"/>
        <v/>
      </c>
    </row>
    <row r="12" spans="1:25">
      <c r="A12" s="605" t="s">
        <v>3630</v>
      </c>
      <c r="T12" s="497"/>
      <c r="U12" s="610">
        <f t="shared" si="0"/>
        <v>0</v>
      </c>
      <c r="V12" s="610" t="str">
        <f t="shared" si="1"/>
        <v/>
      </c>
      <c r="W12" s="610" t="str">
        <f>IF(OR(A12="",E12=""),"",_xlfn.LET(_xlpm.tag_valid,COUNTIF(EVIDENCE_TAXONOMY!F12:F54,E12)&gt;0,_xlpm.tier_filled,F12&lt;&gt;"",_xlpm.status_valid,OR(I12="verified",I12="pending",I12="disputed",I12="unverifiable",I12=""),_xlpm.corr_ok,IF(OR(F12="T4",F12="T5"),J12&gt;0,TRUE),_xlpm.checks,_xlpm.tag_valid+_xlpm.tier_filled+_xlpm.status_valid+_xlpm.corr_ok,ROUND((_xlpm.checks/4)*100,0)))</f>
        <v/>
      </c>
      <c r="X12" s="611">
        <f t="shared" si="2"/>
        <v>0</v>
      </c>
      <c r="Y12" s="665" t="str">
        <f t="shared" si="3"/>
        <v/>
      </c>
    </row>
    <row r="13" spans="1:25">
      <c r="A13" s="606" t="s">
        <v>3631</v>
      </c>
      <c r="T13" s="497"/>
      <c r="U13" s="610">
        <f t="shared" si="0"/>
        <v>0</v>
      </c>
      <c r="V13" s="610" t="str">
        <f t="shared" si="1"/>
        <v/>
      </c>
      <c r="W13" s="610" t="str">
        <f>IF(OR(A13="",E13=""),"",_xlfn.LET(_xlpm.tag_valid,COUNTIF(EVIDENCE_TAXONOMY!F13:F55,E13)&gt;0,_xlpm.tier_filled,F13&lt;&gt;"",_xlpm.status_valid,OR(I13="verified",I13="pending",I13="disputed",I13="unverifiable",I13=""),_xlpm.corr_ok,IF(OR(F13="T4",F13="T5"),J13&gt;0,TRUE),_xlpm.checks,_xlpm.tag_valid+_xlpm.tier_filled+_xlpm.status_valid+_xlpm.corr_ok,ROUND((_xlpm.checks/4)*100,0)))</f>
        <v/>
      </c>
      <c r="X13" s="611">
        <f t="shared" si="2"/>
        <v>0</v>
      </c>
      <c r="Y13" s="665" t="str">
        <f t="shared" si="3"/>
        <v/>
      </c>
    </row>
    <row r="14" spans="1:25">
      <c r="A14" s="605" t="s">
        <v>3632</v>
      </c>
      <c r="T14" s="497"/>
      <c r="U14" s="610">
        <f t="shared" si="0"/>
        <v>0</v>
      </c>
      <c r="V14" s="610" t="str">
        <f t="shared" si="1"/>
        <v/>
      </c>
      <c r="W14" s="610" t="str">
        <f>IF(OR(A14="",E14=""),"",_xlfn.LET(_xlpm.tag_valid,COUNTIF(EVIDENCE_TAXONOMY!F14:F56,E14)&gt;0,_xlpm.tier_filled,F14&lt;&gt;"",_xlpm.status_valid,OR(I14="verified",I14="pending",I14="disputed",I14="unverifiable",I14=""),_xlpm.corr_ok,IF(OR(F14="T4",F14="T5"),J14&gt;0,TRUE),_xlpm.checks,_xlpm.tag_valid+_xlpm.tier_filled+_xlpm.status_valid+_xlpm.corr_ok,ROUND((_xlpm.checks/4)*100,0)))</f>
        <v/>
      </c>
      <c r="X14" s="611">
        <f t="shared" si="2"/>
        <v>0</v>
      </c>
      <c r="Y14" s="665" t="str">
        <f t="shared" si="3"/>
        <v/>
      </c>
    </row>
    <row r="15" spans="1:25">
      <c r="A15" s="606" t="s">
        <v>3633</v>
      </c>
      <c r="T15" s="497"/>
      <c r="U15" s="610">
        <f t="shared" si="0"/>
        <v>0</v>
      </c>
      <c r="V15" s="610" t="str">
        <f t="shared" si="1"/>
        <v/>
      </c>
      <c r="W15" s="610" t="str">
        <f>IF(OR(A15="",E15=""),"",_xlfn.LET(_xlpm.tag_valid,COUNTIF(EVIDENCE_TAXONOMY!F15:F57,E15)&gt;0,_xlpm.tier_filled,F15&lt;&gt;"",_xlpm.status_valid,OR(I15="verified",I15="pending",I15="disputed",I15="unverifiable",I15=""),_xlpm.corr_ok,IF(OR(F15="T4",F15="T5"),J15&gt;0,TRUE),_xlpm.checks,_xlpm.tag_valid+_xlpm.tier_filled+_xlpm.status_valid+_xlpm.corr_ok,ROUND((_xlpm.checks/4)*100,0)))</f>
        <v/>
      </c>
      <c r="X15" s="611">
        <f t="shared" si="2"/>
        <v>0</v>
      </c>
      <c r="Y15" s="665" t="str">
        <f t="shared" si="3"/>
        <v/>
      </c>
    </row>
    <row r="16" spans="1:25">
      <c r="A16" s="605" t="s">
        <v>3634</v>
      </c>
      <c r="T16" s="497"/>
      <c r="U16" s="610">
        <f t="shared" si="0"/>
        <v>0</v>
      </c>
      <c r="V16" s="610" t="str">
        <f t="shared" si="1"/>
        <v/>
      </c>
      <c r="W16" s="610" t="str">
        <f>IF(OR(A16="",E16=""),"",_xlfn.LET(_xlpm.tag_valid,COUNTIF(EVIDENCE_TAXONOMY!F16:F58,E16)&gt;0,_xlpm.tier_filled,F16&lt;&gt;"",_xlpm.status_valid,OR(I16="verified",I16="pending",I16="disputed",I16="unverifiable",I16=""),_xlpm.corr_ok,IF(OR(F16="T4",F16="T5"),J16&gt;0,TRUE),_xlpm.checks,_xlpm.tag_valid+_xlpm.tier_filled+_xlpm.status_valid+_xlpm.corr_ok,ROUND((_xlpm.checks/4)*100,0)))</f>
        <v/>
      </c>
      <c r="X16" s="611">
        <f t="shared" si="2"/>
        <v>0</v>
      </c>
      <c r="Y16" s="665" t="str">
        <f t="shared" si="3"/>
        <v/>
      </c>
    </row>
    <row r="17" spans="1:25">
      <c r="A17" s="606" t="s">
        <v>3635</v>
      </c>
      <c r="T17" s="497"/>
      <c r="U17" s="610">
        <f t="shared" si="0"/>
        <v>0</v>
      </c>
      <c r="V17" s="610" t="str">
        <f t="shared" si="1"/>
        <v/>
      </c>
      <c r="W17" s="610" t="str">
        <f>IF(OR(A17="",E17=""),"",_xlfn.LET(_xlpm.tag_valid,COUNTIF(EVIDENCE_TAXONOMY!F17:F59,E17)&gt;0,_xlpm.tier_filled,F17&lt;&gt;"",_xlpm.status_valid,OR(I17="verified",I17="pending",I17="disputed",I17="unverifiable",I17=""),_xlpm.corr_ok,IF(OR(F17="T4",F17="T5"),J17&gt;0,TRUE),_xlpm.checks,_xlpm.tag_valid+_xlpm.tier_filled+_xlpm.status_valid+_xlpm.corr_ok,ROUND((_xlpm.checks/4)*100,0)))</f>
        <v/>
      </c>
      <c r="X17" s="611">
        <f t="shared" si="2"/>
        <v>0</v>
      </c>
      <c r="Y17" s="665" t="str">
        <f t="shared" si="3"/>
        <v/>
      </c>
    </row>
    <row r="18" spans="1:25">
      <c r="A18" s="605" t="s">
        <v>3636</v>
      </c>
      <c r="T18" s="497"/>
      <c r="U18" s="610">
        <f t="shared" si="0"/>
        <v>0</v>
      </c>
      <c r="V18" s="610" t="str">
        <f t="shared" si="1"/>
        <v/>
      </c>
      <c r="W18" s="610" t="str">
        <f>IF(OR(A18="",E18=""),"",_xlfn.LET(_xlpm.tag_valid,COUNTIF(EVIDENCE_TAXONOMY!F18:F60,E18)&gt;0,_xlpm.tier_filled,F18&lt;&gt;"",_xlpm.status_valid,OR(I18="verified",I18="pending",I18="disputed",I18="unverifiable",I18=""),_xlpm.corr_ok,IF(OR(F18="T4",F18="T5"),J18&gt;0,TRUE),_xlpm.checks,_xlpm.tag_valid+_xlpm.tier_filled+_xlpm.status_valid+_xlpm.corr_ok,ROUND((_xlpm.checks/4)*100,0)))</f>
        <v/>
      </c>
      <c r="X18" s="611">
        <f t="shared" si="2"/>
        <v>0</v>
      </c>
      <c r="Y18" s="665" t="str">
        <f t="shared" si="3"/>
        <v/>
      </c>
    </row>
    <row r="19" spans="1:25">
      <c r="A19" s="606" t="s">
        <v>3637</v>
      </c>
      <c r="T19" s="497"/>
      <c r="U19" s="610">
        <f t="shared" si="0"/>
        <v>0</v>
      </c>
      <c r="V19" s="610" t="str">
        <f t="shared" si="1"/>
        <v/>
      </c>
      <c r="W19" s="610" t="str">
        <f>IF(OR(A19="",E19=""),"",_xlfn.LET(_xlpm.tag_valid,COUNTIF(EVIDENCE_TAXONOMY!F19:F61,E19)&gt;0,_xlpm.tier_filled,F19&lt;&gt;"",_xlpm.status_valid,OR(I19="verified",I19="pending",I19="disputed",I19="unverifiable",I19=""),_xlpm.corr_ok,IF(OR(F19="T4",F19="T5"),J19&gt;0,TRUE),_xlpm.checks,_xlpm.tag_valid+_xlpm.tier_filled+_xlpm.status_valid+_xlpm.corr_ok,ROUND((_xlpm.checks/4)*100,0)))</f>
        <v/>
      </c>
      <c r="X19" s="611">
        <f t="shared" si="2"/>
        <v>0</v>
      </c>
      <c r="Y19" s="665" t="str">
        <f t="shared" si="3"/>
        <v/>
      </c>
    </row>
    <row r="20" spans="1:25">
      <c r="A20" s="605" t="s">
        <v>3638</v>
      </c>
      <c r="T20" s="497"/>
      <c r="U20" s="610">
        <f t="shared" si="0"/>
        <v>0</v>
      </c>
      <c r="V20" s="610" t="str">
        <f t="shared" si="1"/>
        <v/>
      </c>
      <c r="W20" s="610" t="str">
        <f>IF(OR(A20="",E20=""),"",_xlfn.LET(_xlpm.tag_valid,COUNTIF(EVIDENCE_TAXONOMY!F20:F62,E20)&gt;0,_xlpm.tier_filled,F20&lt;&gt;"",_xlpm.status_valid,OR(I20="verified",I20="pending",I20="disputed",I20="unverifiable",I20=""),_xlpm.corr_ok,IF(OR(F20="T4",F20="T5"),J20&gt;0,TRUE),_xlpm.checks,_xlpm.tag_valid+_xlpm.tier_filled+_xlpm.status_valid+_xlpm.corr_ok,ROUND((_xlpm.checks/4)*100,0)))</f>
        <v/>
      </c>
      <c r="X20" s="611">
        <f t="shared" si="2"/>
        <v>0</v>
      </c>
      <c r="Y20" s="665" t="str">
        <f t="shared" si="3"/>
        <v/>
      </c>
    </row>
    <row r="21" spans="1:25">
      <c r="A21" s="606" t="s">
        <v>3639</v>
      </c>
      <c r="T21" s="497"/>
      <c r="U21" s="610">
        <f t="shared" si="0"/>
        <v>0</v>
      </c>
      <c r="V21" s="610" t="str">
        <f t="shared" si="1"/>
        <v/>
      </c>
      <c r="W21" s="610" t="str">
        <f>IF(OR(A21="",E21=""),"",_xlfn.LET(_xlpm.tag_valid,COUNTIF(EVIDENCE_TAXONOMY!F21:F63,E21)&gt;0,_xlpm.tier_filled,F21&lt;&gt;"",_xlpm.status_valid,OR(I21="verified",I21="pending",I21="disputed",I21="unverifiable",I21=""),_xlpm.corr_ok,IF(OR(F21="T4",F21="T5"),J21&gt;0,TRUE),_xlpm.checks,_xlpm.tag_valid+_xlpm.tier_filled+_xlpm.status_valid+_xlpm.corr_ok,ROUND((_xlpm.checks/4)*100,0)))</f>
        <v/>
      </c>
      <c r="X21" s="611">
        <f t="shared" si="2"/>
        <v>0</v>
      </c>
      <c r="Y21" s="665" t="str">
        <f t="shared" si="3"/>
        <v/>
      </c>
    </row>
    <row r="22" spans="1:25">
      <c r="A22" s="605" t="s">
        <v>3640</v>
      </c>
      <c r="T22" s="497"/>
      <c r="U22" s="610">
        <f t="shared" si="0"/>
        <v>0</v>
      </c>
      <c r="V22" s="610" t="str">
        <f t="shared" si="1"/>
        <v/>
      </c>
      <c r="W22" s="610" t="str">
        <f>IF(OR(A22="",E22=""),"",_xlfn.LET(_xlpm.tag_valid,COUNTIF(EVIDENCE_TAXONOMY!F22:F64,E22)&gt;0,_xlpm.tier_filled,F22&lt;&gt;"",_xlpm.status_valid,OR(I22="verified",I22="pending",I22="disputed",I22="unverifiable",I22=""),_xlpm.corr_ok,IF(OR(F22="T4",F22="T5"),J22&gt;0,TRUE),_xlpm.checks,_xlpm.tag_valid+_xlpm.tier_filled+_xlpm.status_valid+_xlpm.corr_ok,ROUND((_xlpm.checks/4)*100,0)))</f>
        <v/>
      </c>
      <c r="X22" s="611">
        <f t="shared" si="2"/>
        <v>0</v>
      </c>
      <c r="Y22" s="665" t="str">
        <f t="shared" si="3"/>
        <v/>
      </c>
    </row>
    <row r="23" spans="1:25">
      <c r="T23" s="497"/>
    </row>
    <row r="24" spans="1:25">
      <c r="A24" s="612" t="s">
        <v>3641</v>
      </c>
      <c r="B24" s="497"/>
      <c r="C24" s="497"/>
      <c r="D24" s="497"/>
      <c r="E24" s="497"/>
      <c r="F24" s="497"/>
      <c r="G24" s="497"/>
      <c r="H24" s="497"/>
      <c r="I24" s="497"/>
      <c r="J24" s="497"/>
      <c r="K24" s="497"/>
      <c r="L24" s="497"/>
      <c r="M24" s="497"/>
      <c r="N24" s="497"/>
      <c r="O24" s="497"/>
      <c r="P24" s="497"/>
      <c r="Q24" s="497"/>
      <c r="R24" s="497"/>
      <c r="S24" s="497"/>
      <c r="T24" s="497"/>
    </row>
    <row r="25" spans="1:25" ht="21">
      <c r="A25" s="613" t="s">
        <v>3642</v>
      </c>
      <c r="B25" s="614">
        <f>COUNTA(B3:B22)</f>
        <v>0</v>
      </c>
      <c r="C25" s="613" t="s">
        <v>3643</v>
      </c>
      <c r="D25" s="615">
        <f>IF(COUNTA(U3:U22)=0,"-",ROUND(AVERAGE(U3:U22),0))</f>
        <v>0</v>
      </c>
      <c r="E25" s="613" t="s">
        <v>3644</v>
      </c>
      <c r="F25" s="615" t="str">
        <f>IFERROR(IF(COUNTA(V3:V22)=0,"-",ROUND(AVERAGE(V3:V22),0)),"-")</f>
        <v>-</v>
      </c>
      <c r="G25" s="613" t="s">
        <v>3645</v>
      </c>
      <c r="H25" s="615" t="str">
        <f>IFERROR(IF(COUNTA(W3:W22)=0,"-",ROUND(AVERAGE(W3:W22),0)),"-")</f>
        <v>-</v>
      </c>
      <c r="I25" s="616" t="s">
        <v>3646</v>
      </c>
      <c r="J25" s="617">
        <f>IF(COUNTA(X3:X22)=0,"-",ROUND(AVERAGE(X3:X22),0))</f>
        <v>0</v>
      </c>
      <c r="K25" s="618"/>
      <c r="L25" s="666" t="s">
        <v>3750</v>
      </c>
      <c r="M25" s="620">
        <f>COUNTIF(Y3:Y22,"✅ READY")</f>
        <v>0</v>
      </c>
      <c r="N25" s="667" t="s">
        <v>1855</v>
      </c>
      <c r="O25" s="622">
        <f>COUNTIF(Y3:Y22,"❌ BLOCKED")</f>
        <v>0</v>
      </c>
      <c r="P25" s="616" t="s">
        <v>3751</v>
      </c>
      <c r="Q25" s="668" t="str">
        <f>IFERROR(ROUND(M25/(M25+O25)*100,0),"-")</f>
        <v>-</v>
      </c>
      <c r="R25" s="618"/>
      <c r="S25" s="618"/>
      <c r="T25" s="497"/>
    </row>
    <row r="26" spans="1:25" ht="18">
      <c r="A26" s="613" t="s">
        <v>3647</v>
      </c>
      <c r="B26" s="619" t="str">
        <f>"T1: "&amp;COUNTIF(F3:F22,"T1")&amp;"  T2: "&amp;COUNTIF(F3:F22,"T2")&amp;"  T3: "&amp;COUNTIF(F3:F22,"T3")&amp;"  T4: "&amp;COUNTIF(F3:F22,"T4")&amp;"  T5: "&amp;COUNTIF(F3:F22,"T5")&amp;"  N: "&amp;COUNTIF(F3:F22,"N")</f>
        <v>T1: 0  T2: 0  T3: 0  T4: 0  T5: 0  N: 0</v>
      </c>
      <c r="C26" s="618"/>
      <c r="D26" s="618"/>
      <c r="E26" s="613" t="s">
        <v>3648</v>
      </c>
      <c r="F26" s="620">
        <f>COUNTIF(I3:I22,"verified")</f>
        <v>0</v>
      </c>
      <c r="G26" s="613" t="s">
        <v>175</v>
      </c>
      <c r="H26" s="621">
        <f>COUNTIF(I3:I22,"pending")</f>
        <v>0</v>
      </c>
      <c r="I26" s="613" t="s">
        <v>3649</v>
      </c>
      <c r="J26" s="622">
        <f>COUNTIF(I3:I22,"disputed")</f>
        <v>0</v>
      </c>
      <c r="K26" s="618"/>
      <c r="L26" s="618"/>
      <c r="M26" s="618"/>
      <c r="N26" s="618"/>
      <c r="O26" s="618"/>
      <c r="P26" s="618"/>
      <c r="Q26" s="618"/>
      <c r="R26" s="618"/>
      <c r="S26" s="618"/>
      <c r="T26" s="497"/>
    </row>
  </sheetData>
  <conditionalFormatting sqref="V3:V22">
    <cfRule type="colorScale" priority="2">
      <colorScale>
        <cfvo type="min"/>
        <cfvo type="percentile" val="50"/>
        <cfvo type="max"/>
        <color rgb="FFFF5252"/>
        <color rgb="FFFFB300"/>
        <color rgb="FF00C853"/>
      </colorScale>
    </cfRule>
  </conditionalFormatting>
  <conditionalFormatting sqref="X3:X22">
    <cfRule type="colorScale" priority="1">
      <colorScale>
        <cfvo type="min"/>
        <cfvo type="percentile" val="50"/>
        <cfvo type="max"/>
        <color rgb="FFFF5252"/>
        <color rgb="FFFFB300"/>
        <color rgb="FF00C853"/>
      </colorScale>
    </cfRule>
  </conditionalFormatting>
  <dataValidations count="4">
    <dataValidation type="list" allowBlank="1" showInputMessage="1" showErrorMessage="1" promptTitle="DB Tag" prompt="Select an evidence type tag from the EVIDENCE_TAXONOMY" sqref="E3:E22" xr:uid="{87BF5E48-47B3-4271-AC45-657B8C38BEFA}">
      <formula1>_xlfn._LONGTEXT("declass_gov,congress_record,court_record,official_admit,leaked_doc,peer_reviewed,financial_record,forensic,invest_journalism,witness_named,whistleblower,academic_research,verified_media,foia_response,audit_report,stat_pattern,circumstantial,historical_pre","c,expert_opinion,contemp_news,correspondence,anon_source,hearsay,unverified_doc,confession,uncontrolled_pattern,archived_content,documentary_claim,single_source,anon_post,channeled,unverifiable,circular_ref,ai_generated,conspic_absence,suppression,non_den","ial,redaction_pattern")</formula1>
    </dataValidation>
    <dataValidation type="list" allowBlank="1" showInputMessage="1" showErrorMessage="1" promptTitle="Evidence Tier" prompt="T1=Strongest, T2=Supporting, T3=Contextual, T4=Weak, T5=Weakest, N=Negative" sqref="F3:F22" xr:uid="{FCC6BCBE-A557-4193-B5D4-D76A488E8785}">
      <formula1>"T1,T2,T3,T4,T5,N"</formula1>
    </dataValidation>
    <dataValidation type="list" allowBlank="1" showInputMessage="1" showErrorMessage="1" promptTitle="Verification Status" prompt="verified = confirmed authentic_x000a_pending = not yet checked_x000a_disputed = authenticity challenged_x000a_unverifiable = cannot be checked" sqref="I3:I22" xr:uid="{CE273365-2C64-4C10-A298-19BBE6301EE2}">
      <formula1>"verified,pending,disputed,unverifiable"</formula1>
    </dataValidation>
    <dataValidation type="list" allowBlank="1" showInputMessage="1" showErrorMessage="1" promptTitle="Review Rating (ClaimReview)" prompt="Schema.org ClaimReview verdict label. Required for promotion to main web page." sqref="O3:O22" xr:uid="{AD8AFB88-120C-4FC3-9107-531B503BA673}">
      <formula1>"True,Mostly True,Mixed,Mostly False,False,Unproven"</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60E5A-A502-446D-A78F-AF8B0E2D1F7C}">
  <dimension ref="A1:F34"/>
  <sheetViews>
    <sheetView workbookViewId="0">
      <pane ySplit="2" topLeftCell="A3" activePane="bottomLeft" state="frozen"/>
      <selection pane="bottomLeft"/>
    </sheetView>
  </sheetViews>
  <sheetFormatPr defaultRowHeight="14.4"/>
  <cols>
    <col min="1" max="1" width="18.5546875" customWidth="1"/>
    <col min="2" max="2" width="22.21875" customWidth="1"/>
    <col min="3" max="4" width="11.109375" customWidth="1"/>
    <col min="5" max="5" width="37" customWidth="1"/>
    <col min="6" max="6" width="9.21875" customWidth="1"/>
  </cols>
  <sheetData>
    <row r="1" spans="1:6" ht="21">
      <c r="A1" s="496" t="s">
        <v>3650</v>
      </c>
      <c r="B1" s="497"/>
      <c r="C1" s="497"/>
      <c r="D1" s="497"/>
      <c r="E1" s="498" t="s">
        <v>3651</v>
      </c>
      <c r="F1" s="497"/>
    </row>
    <row r="2" spans="1:6">
      <c r="A2" s="602" t="s">
        <v>3652</v>
      </c>
      <c r="B2" s="602" t="s">
        <v>3653</v>
      </c>
      <c r="C2" s="603" t="s">
        <v>3654</v>
      </c>
      <c r="D2" s="603" t="s">
        <v>1751</v>
      </c>
      <c r="E2" s="602" t="s">
        <v>3655</v>
      </c>
      <c r="F2" s="603" t="s">
        <v>3656</v>
      </c>
    </row>
    <row r="3" spans="1:6">
      <c r="A3" s="623" t="s">
        <v>3657</v>
      </c>
      <c r="B3" s="624"/>
      <c r="C3" s="624"/>
      <c r="D3" s="624"/>
      <c r="E3" s="624"/>
      <c r="F3" s="624"/>
    </row>
    <row r="4" spans="1:6">
      <c r="A4" s="625" t="s">
        <v>3610</v>
      </c>
      <c r="B4" s="628" t="s">
        <v>3658</v>
      </c>
      <c r="C4" s="630" t="s">
        <v>3659</v>
      </c>
      <c r="D4" s="631" t="s">
        <v>3660</v>
      </c>
      <c r="E4" s="629" t="s">
        <v>3661</v>
      </c>
      <c r="F4" s="633" t="s">
        <v>3662</v>
      </c>
    </row>
    <row r="5" spans="1:6">
      <c r="A5" s="634" t="s">
        <v>3611</v>
      </c>
      <c r="B5" s="627" t="s">
        <v>3663</v>
      </c>
      <c r="C5" s="635" t="s">
        <v>3664</v>
      </c>
      <c r="D5" s="636" t="s">
        <v>3660</v>
      </c>
      <c r="E5" t="s">
        <v>3665</v>
      </c>
      <c r="F5" s="637" t="s">
        <v>3662</v>
      </c>
    </row>
    <row r="6" spans="1:6">
      <c r="A6" s="638" t="s">
        <v>3612</v>
      </c>
      <c r="B6" s="628" t="s">
        <v>3666</v>
      </c>
      <c r="C6" s="630" t="s">
        <v>3667</v>
      </c>
      <c r="D6" s="631" t="s">
        <v>3660</v>
      </c>
      <c r="E6" s="629" t="s">
        <v>3668</v>
      </c>
      <c r="F6" s="630" t="s">
        <v>3669</v>
      </c>
    </row>
    <row r="7" spans="1:6">
      <c r="A7" s="634" t="s">
        <v>3613</v>
      </c>
      <c r="B7" s="627" t="s">
        <v>3670</v>
      </c>
      <c r="C7" s="635" t="s">
        <v>3671</v>
      </c>
      <c r="D7" s="636" t="s">
        <v>3660</v>
      </c>
      <c r="E7" t="s">
        <v>3672</v>
      </c>
      <c r="F7" s="637" t="s">
        <v>3662</v>
      </c>
    </row>
    <row r="8" spans="1:6">
      <c r="A8" s="638" t="s">
        <v>3614</v>
      </c>
      <c r="B8" s="628" t="s">
        <v>3673</v>
      </c>
      <c r="C8" s="630" t="s">
        <v>3659</v>
      </c>
      <c r="D8" s="639" t="s">
        <v>3674</v>
      </c>
      <c r="E8" s="629" t="s">
        <v>3675</v>
      </c>
      <c r="F8" s="633" t="s">
        <v>3662</v>
      </c>
    </row>
    <row r="9" spans="1:6">
      <c r="A9" s="634" t="s">
        <v>3230</v>
      </c>
      <c r="B9" s="627" t="s">
        <v>3676</v>
      </c>
      <c r="C9" s="635" t="s">
        <v>3677</v>
      </c>
      <c r="D9" s="640" t="s">
        <v>3674</v>
      </c>
      <c r="E9" t="s">
        <v>3678</v>
      </c>
      <c r="F9" s="637" t="s">
        <v>3662</v>
      </c>
    </row>
    <row r="10" spans="1:6">
      <c r="A10" s="638" t="s">
        <v>3615</v>
      </c>
      <c r="B10" s="628" t="s">
        <v>3679</v>
      </c>
      <c r="C10" s="630" t="s">
        <v>3615</v>
      </c>
      <c r="D10" s="631" t="s">
        <v>3660</v>
      </c>
      <c r="E10" s="629" t="s">
        <v>3680</v>
      </c>
      <c r="F10" s="633" t="s">
        <v>3662</v>
      </c>
    </row>
    <row r="11" spans="1:6">
      <c r="A11" s="634" t="s">
        <v>3616</v>
      </c>
      <c r="B11" s="627" t="s">
        <v>3681</v>
      </c>
      <c r="C11" s="635" t="s">
        <v>14</v>
      </c>
      <c r="D11" s="641" t="s">
        <v>3682</v>
      </c>
      <c r="E11" t="s">
        <v>3683</v>
      </c>
      <c r="F11" s="635" t="s">
        <v>3669</v>
      </c>
    </row>
    <row r="12" spans="1:6">
      <c r="A12" s="638" t="s">
        <v>3617</v>
      </c>
      <c r="B12" s="628" t="s">
        <v>3684</v>
      </c>
      <c r="C12" s="630" t="s">
        <v>3664</v>
      </c>
      <c r="D12" s="639" t="s">
        <v>3674</v>
      </c>
      <c r="E12" s="629" t="s">
        <v>3685</v>
      </c>
      <c r="F12" s="633" t="s">
        <v>3662</v>
      </c>
    </row>
    <row r="13" spans="1:6">
      <c r="A13" s="634" t="s">
        <v>3618</v>
      </c>
      <c r="B13" s="627" t="s">
        <v>3686</v>
      </c>
      <c r="C13" s="635" t="s">
        <v>3687</v>
      </c>
      <c r="D13" s="640" t="s">
        <v>3674</v>
      </c>
      <c r="E13" t="s">
        <v>3688</v>
      </c>
      <c r="F13" s="633" t="s">
        <v>3669</v>
      </c>
    </row>
    <row r="14" spans="1:6">
      <c r="A14" s="638" t="s">
        <v>1850</v>
      </c>
      <c r="B14" s="628" t="s">
        <v>3689</v>
      </c>
      <c r="C14" s="630" t="s">
        <v>3664</v>
      </c>
      <c r="D14" s="631" t="s">
        <v>3660</v>
      </c>
      <c r="E14" s="629" t="s">
        <v>3690</v>
      </c>
      <c r="F14" s="633" t="s">
        <v>3669</v>
      </c>
    </row>
    <row r="16" spans="1:6">
      <c r="A16" s="642" t="s">
        <v>3691</v>
      </c>
      <c r="B16" s="643"/>
      <c r="C16" s="643"/>
      <c r="D16" s="643"/>
      <c r="E16" s="643"/>
      <c r="F16" s="643"/>
    </row>
    <row r="17" spans="1:6">
      <c r="A17" s="645" t="s">
        <v>3692</v>
      </c>
      <c r="B17" s="646" t="s">
        <v>3693</v>
      </c>
      <c r="C17" s="648" t="s">
        <v>3664</v>
      </c>
      <c r="D17" s="649" t="s">
        <v>3694</v>
      </c>
      <c r="E17" s="647" t="s">
        <v>3695</v>
      </c>
      <c r="F17" s="650" t="s">
        <v>3696</v>
      </c>
    </row>
    <row r="18" spans="1:6">
      <c r="A18" s="644" t="s">
        <v>3697</v>
      </c>
      <c r="B18" s="627" t="s">
        <v>3698</v>
      </c>
      <c r="C18" s="635" t="s">
        <v>3664</v>
      </c>
      <c r="D18" s="636" t="s">
        <v>3694</v>
      </c>
      <c r="E18" t="s">
        <v>3699</v>
      </c>
      <c r="F18" s="652" t="s">
        <v>3696</v>
      </c>
    </row>
    <row r="19" spans="1:6">
      <c r="A19" s="645" t="s">
        <v>3700</v>
      </c>
      <c r="B19" s="646" t="s">
        <v>3701</v>
      </c>
      <c r="C19" s="648" t="s">
        <v>3702</v>
      </c>
      <c r="D19" s="649" t="s">
        <v>3694</v>
      </c>
      <c r="E19" s="647" t="s">
        <v>3703</v>
      </c>
      <c r="F19" s="650" t="s">
        <v>3696</v>
      </c>
    </row>
    <row r="20" spans="1:6">
      <c r="A20" s="644" t="s">
        <v>3704</v>
      </c>
      <c r="B20" s="627" t="s">
        <v>3705</v>
      </c>
      <c r="C20" s="635" t="s">
        <v>3664</v>
      </c>
      <c r="D20" s="636" t="s">
        <v>3694</v>
      </c>
      <c r="E20" t="s">
        <v>3706</v>
      </c>
      <c r="F20" s="652" t="s">
        <v>3696</v>
      </c>
    </row>
    <row r="21" spans="1:6">
      <c r="A21" s="645" t="s">
        <v>3707</v>
      </c>
      <c r="B21" s="646" t="s">
        <v>3708</v>
      </c>
      <c r="C21" s="648" t="s">
        <v>14</v>
      </c>
      <c r="D21" s="649" t="s">
        <v>3694</v>
      </c>
      <c r="E21" s="647" t="s">
        <v>3709</v>
      </c>
      <c r="F21" s="650" t="s">
        <v>3696</v>
      </c>
    </row>
    <row r="22" spans="1:6">
      <c r="A22" s="644" t="s">
        <v>3710</v>
      </c>
      <c r="B22" s="627" t="s">
        <v>3711</v>
      </c>
      <c r="C22" s="635" t="s">
        <v>14</v>
      </c>
      <c r="D22" s="636" t="s">
        <v>3694</v>
      </c>
      <c r="E22" t="s">
        <v>3712</v>
      </c>
      <c r="F22" s="652" t="s">
        <v>3669</v>
      </c>
    </row>
    <row r="23" spans="1:6">
      <c r="A23" s="645" t="s">
        <v>3713</v>
      </c>
      <c r="B23" s="646" t="s">
        <v>3714</v>
      </c>
      <c r="C23" s="648" t="s">
        <v>3715</v>
      </c>
      <c r="D23" s="649" t="s">
        <v>3694</v>
      </c>
      <c r="E23" s="647" t="s">
        <v>3716</v>
      </c>
      <c r="F23" s="650" t="s">
        <v>3669</v>
      </c>
    </row>
    <row r="24" spans="1:6">
      <c r="A24" s="644" t="s">
        <v>3717</v>
      </c>
      <c r="B24" s="627" t="s">
        <v>3718</v>
      </c>
      <c r="C24" s="635" t="s">
        <v>3715</v>
      </c>
      <c r="D24" s="636" t="s">
        <v>3694</v>
      </c>
      <c r="E24" t="s">
        <v>3719</v>
      </c>
      <c r="F24" s="652" t="s">
        <v>3669</v>
      </c>
    </row>
    <row r="26" spans="1:6">
      <c r="A26" s="653" t="s">
        <v>3720</v>
      </c>
      <c r="B26" s="654"/>
      <c r="C26" s="654"/>
      <c r="D26" s="654"/>
      <c r="E26" s="654"/>
      <c r="F26" s="654"/>
    </row>
    <row r="27" spans="1:6">
      <c r="A27" s="602" t="s">
        <v>3721</v>
      </c>
      <c r="B27" s="602" t="s">
        <v>3722</v>
      </c>
      <c r="C27" s="655"/>
      <c r="D27" s="603" t="s">
        <v>598</v>
      </c>
      <c r="E27" s="602" t="s">
        <v>3723</v>
      </c>
      <c r="F27" s="655"/>
    </row>
    <row r="28" spans="1:6">
      <c r="A28" s="657" t="s">
        <v>3724</v>
      </c>
      <c r="B28" s="658" t="s">
        <v>3725</v>
      </c>
      <c r="C28" s="659"/>
      <c r="D28" s="660" t="s">
        <v>3726</v>
      </c>
      <c r="E28" s="658" t="s">
        <v>3727</v>
      </c>
      <c r="F28" s="659"/>
    </row>
    <row r="29" spans="1:6">
      <c r="A29" s="656" t="s">
        <v>3728</v>
      </c>
      <c r="B29" s="626" t="s">
        <v>3729</v>
      </c>
      <c r="D29" s="637" t="s">
        <v>3726</v>
      </c>
      <c r="E29" t="s">
        <v>3730</v>
      </c>
    </row>
    <row r="30" spans="1:6">
      <c r="A30" s="657" t="s">
        <v>3731</v>
      </c>
      <c r="B30" s="658" t="s">
        <v>3732</v>
      </c>
      <c r="C30" s="659"/>
      <c r="D30" s="660" t="s">
        <v>3726</v>
      </c>
      <c r="E30" s="658" t="s">
        <v>3733</v>
      </c>
      <c r="F30" s="659"/>
    </row>
    <row r="31" spans="1:6">
      <c r="A31" s="656" t="s">
        <v>3734</v>
      </c>
      <c r="B31" s="626" t="s">
        <v>3735</v>
      </c>
      <c r="D31" s="661">
        <v>0.2</v>
      </c>
      <c r="E31" t="s">
        <v>3736</v>
      </c>
    </row>
    <row r="32" spans="1:6">
      <c r="A32" s="657" t="s">
        <v>3737</v>
      </c>
      <c r="B32" s="658" t="s">
        <v>3738</v>
      </c>
      <c r="C32" s="659"/>
      <c r="D32" s="662">
        <v>0.2</v>
      </c>
      <c r="E32" s="658" t="s">
        <v>3739</v>
      </c>
      <c r="F32" s="659"/>
    </row>
    <row r="33" spans="1:6">
      <c r="A33" s="656" t="s">
        <v>3740</v>
      </c>
      <c r="B33" s="626" t="s">
        <v>3741</v>
      </c>
      <c r="D33" s="637" t="s">
        <v>3726</v>
      </c>
      <c r="E33" t="s">
        <v>3742</v>
      </c>
    </row>
    <row r="34" spans="1:6">
      <c r="A34" s="657" t="s">
        <v>3743</v>
      </c>
      <c r="B34" s="658" t="s">
        <v>3744</v>
      </c>
      <c r="C34" s="659"/>
      <c r="D34" s="662">
        <v>0.6</v>
      </c>
      <c r="E34" s="658" t="s">
        <v>3745</v>
      </c>
      <c r="F34" s="65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E1FA-6F21-414F-A44E-4CEAAB440302}">
  <dimension ref="A1:D23"/>
  <sheetViews>
    <sheetView workbookViewId="0">
      <pane ySplit="2" topLeftCell="A3" activePane="bottomLeft" state="frozen"/>
      <selection pane="bottomLeft" activeCell="B7" sqref="B7"/>
    </sheetView>
  </sheetViews>
  <sheetFormatPr defaultRowHeight="14.4"/>
  <cols>
    <col min="1" max="1" width="22.21875" customWidth="1"/>
    <col min="2" max="2" width="74.109375" customWidth="1"/>
    <col min="3" max="3" width="5.5546875" customWidth="1"/>
    <col min="4" max="4" width="74.109375" customWidth="1"/>
  </cols>
  <sheetData>
    <row r="1" spans="1:4" ht="21">
      <c r="A1" s="496" t="s">
        <v>3752</v>
      </c>
      <c r="B1" s="497"/>
      <c r="C1" s="497"/>
      <c r="D1" s="498" t="s">
        <v>3753</v>
      </c>
    </row>
    <row r="2" spans="1:4">
      <c r="A2" s="602" t="s">
        <v>3754</v>
      </c>
      <c r="B2" s="602" t="s">
        <v>3755</v>
      </c>
      <c r="C2" s="655"/>
      <c r="D2" s="602" t="s">
        <v>3756</v>
      </c>
    </row>
    <row r="3" spans="1:4">
      <c r="A3" s="669" t="s">
        <v>3757</v>
      </c>
      <c r="B3" s="624"/>
      <c r="C3" s="624"/>
      <c r="D3" s="624"/>
    </row>
    <row r="4" spans="1:4" ht="409.6">
      <c r="A4" s="670" t="s">
        <v>3758</v>
      </c>
      <c r="B4" s="671" t="s">
        <v>3759</v>
      </c>
      <c r="D4" s="672" t="s">
        <v>3760</v>
      </c>
    </row>
    <row r="6" spans="1:4">
      <c r="A6" s="673" t="s">
        <v>3761</v>
      </c>
      <c r="B6" s="643"/>
      <c r="C6" s="643"/>
      <c r="D6" s="643"/>
    </row>
    <row r="7" spans="1:4" ht="409.6">
      <c r="A7" s="674" t="s">
        <v>3762</v>
      </c>
      <c r="B7" s="675" t="s">
        <v>3763</v>
      </c>
      <c r="D7" s="676" t="s">
        <v>3764</v>
      </c>
    </row>
    <row r="9" spans="1:4">
      <c r="A9" s="677" t="s">
        <v>3765</v>
      </c>
      <c r="B9" s="654"/>
      <c r="C9" s="654"/>
      <c r="D9" s="654"/>
    </row>
    <row r="10" spans="1:4" ht="409.6">
      <c r="A10" s="678" t="s">
        <v>3766</v>
      </c>
      <c r="B10" s="679" t="s">
        <v>3767</v>
      </c>
      <c r="D10" s="680" t="s">
        <v>3768</v>
      </c>
    </row>
    <row r="12" spans="1:4">
      <c r="A12" s="681" t="s">
        <v>3769</v>
      </c>
      <c r="B12" s="682"/>
      <c r="C12" s="682"/>
      <c r="D12" s="682"/>
    </row>
    <row r="13" spans="1:4">
      <c r="A13" s="602" t="s">
        <v>3770</v>
      </c>
      <c r="B13" s="602" t="s">
        <v>3771</v>
      </c>
      <c r="C13" s="603" t="s">
        <v>3772</v>
      </c>
      <c r="D13" s="602" t="s">
        <v>3773</v>
      </c>
    </row>
    <row r="14" spans="1:4">
      <c r="A14" s="683" t="s">
        <v>3774</v>
      </c>
      <c r="B14" s="683" t="s">
        <v>3775</v>
      </c>
      <c r="C14" s="684" t="s">
        <v>1675</v>
      </c>
      <c r="D14" s="683" t="s">
        <v>3776</v>
      </c>
    </row>
    <row r="15" spans="1:4">
      <c r="A15" s="627" t="s">
        <v>3777</v>
      </c>
      <c r="B15" s="627" t="s">
        <v>3778</v>
      </c>
      <c r="C15" s="635" t="s">
        <v>1675</v>
      </c>
      <c r="D15" s="626" t="s">
        <v>3779</v>
      </c>
    </row>
    <row r="16" spans="1:4">
      <c r="A16" s="683" t="s">
        <v>3780</v>
      </c>
      <c r="B16" s="683" t="s">
        <v>3676</v>
      </c>
      <c r="C16" s="684" t="s">
        <v>1675</v>
      </c>
      <c r="D16" s="683" t="s">
        <v>3781</v>
      </c>
    </row>
    <row r="17" spans="1:4">
      <c r="A17" s="627" t="s">
        <v>3782</v>
      </c>
      <c r="B17" s="627" t="s">
        <v>3705</v>
      </c>
      <c r="C17" s="635" t="s">
        <v>1675</v>
      </c>
      <c r="D17" s="626" t="s">
        <v>3783</v>
      </c>
    </row>
    <row r="18" spans="1:4">
      <c r="A18" s="683" t="s">
        <v>3784</v>
      </c>
      <c r="B18" s="683" t="s">
        <v>3785</v>
      </c>
      <c r="C18" s="684" t="s">
        <v>1675</v>
      </c>
      <c r="D18" s="683" t="s">
        <v>3786</v>
      </c>
    </row>
    <row r="19" spans="1:4">
      <c r="A19" s="627" t="s">
        <v>3787</v>
      </c>
      <c r="B19" s="627" t="s">
        <v>3788</v>
      </c>
      <c r="C19" s="635" t="s">
        <v>1675</v>
      </c>
      <c r="D19" s="626" t="s">
        <v>3789</v>
      </c>
    </row>
    <row r="20" spans="1:4">
      <c r="A20" s="683" t="s">
        <v>3790</v>
      </c>
      <c r="B20" s="683" t="s">
        <v>3791</v>
      </c>
      <c r="C20" s="685" t="s">
        <v>3696</v>
      </c>
      <c r="D20" s="686" t="s">
        <v>3792</v>
      </c>
    </row>
    <row r="21" spans="1:4">
      <c r="A21" s="627" t="s">
        <v>3793</v>
      </c>
      <c r="B21" s="627" t="s">
        <v>3794</v>
      </c>
      <c r="C21" s="652" t="s">
        <v>3696</v>
      </c>
      <c r="D21" s="651" t="s">
        <v>3795</v>
      </c>
    </row>
    <row r="22" spans="1:4">
      <c r="A22" s="683" t="s">
        <v>3796</v>
      </c>
      <c r="B22" s="683" t="s">
        <v>3797</v>
      </c>
      <c r="C22" s="685" t="s">
        <v>3696</v>
      </c>
      <c r="D22" s="687" t="s">
        <v>3798</v>
      </c>
    </row>
    <row r="23" spans="1:4">
      <c r="A23" s="627" t="s">
        <v>3799</v>
      </c>
      <c r="B23" s="627" t="s">
        <v>3800</v>
      </c>
      <c r="C23" s="637" t="s">
        <v>3801</v>
      </c>
      <c r="D23" s="632" t="s">
        <v>3802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F1491-4CA1-4B07-89D3-87875748CD8A}">
  <dimension ref="A1:C27"/>
  <sheetViews>
    <sheetView tabSelected="1" workbookViewId="0">
      <pane ySplit="2" topLeftCell="A3" activePane="bottomLeft" state="frozen"/>
      <selection pane="bottomLeft"/>
    </sheetView>
  </sheetViews>
  <sheetFormatPr defaultRowHeight="14.4"/>
  <cols>
    <col min="1" max="1" width="25.88671875" customWidth="1"/>
    <col min="2" max="2" width="92.5546875" customWidth="1"/>
    <col min="3" max="3" width="37" customWidth="1"/>
  </cols>
  <sheetData>
    <row r="1" spans="1:3" ht="21">
      <c r="A1" s="496" t="s">
        <v>3803</v>
      </c>
      <c r="B1" s="498" t="s">
        <v>3804</v>
      </c>
      <c r="C1" s="497"/>
    </row>
    <row r="2" spans="1:3">
      <c r="A2" s="602" t="s">
        <v>3805</v>
      </c>
      <c r="B2" s="602" t="s">
        <v>3806</v>
      </c>
      <c r="C2" s="602" t="s">
        <v>1850</v>
      </c>
    </row>
    <row r="3" spans="1:3">
      <c r="A3" s="669" t="s">
        <v>3807</v>
      </c>
      <c r="B3" s="624"/>
      <c r="C3" s="624"/>
    </row>
    <row r="4" spans="1:3" ht="252.6">
      <c r="A4" s="670" t="s">
        <v>3808</v>
      </c>
      <c r="B4" s="671" t="s">
        <v>3809</v>
      </c>
      <c r="C4" s="672" t="s">
        <v>3810</v>
      </c>
    </row>
    <row r="6" spans="1:3" ht="409.6">
      <c r="A6" s="670" t="s">
        <v>3811</v>
      </c>
      <c r="B6" s="671" t="s">
        <v>3812</v>
      </c>
      <c r="C6" s="672" t="s">
        <v>3813</v>
      </c>
    </row>
    <row r="8" spans="1:3" ht="409.6">
      <c r="A8" s="670" t="s">
        <v>3814</v>
      </c>
      <c r="B8" s="671" t="s">
        <v>3815</v>
      </c>
      <c r="C8" s="672" t="s">
        <v>3816</v>
      </c>
    </row>
    <row r="10" spans="1:3">
      <c r="A10" s="673" t="s">
        <v>3817</v>
      </c>
      <c r="B10" s="643"/>
      <c r="C10" s="643"/>
    </row>
    <row r="11" spans="1:3" ht="409.6">
      <c r="A11" s="674" t="s">
        <v>3818</v>
      </c>
      <c r="B11" s="675" t="s">
        <v>3819</v>
      </c>
      <c r="C11" s="676" t="s">
        <v>3820</v>
      </c>
    </row>
    <row r="13" spans="1:3" ht="409.6">
      <c r="A13" s="674" t="s">
        <v>3821</v>
      </c>
      <c r="B13" s="675" t="s">
        <v>3822</v>
      </c>
      <c r="C13" s="676" t="s">
        <v>3823</v>
      </c>
    </row>
    <row r="15" spans="1:3" ht="384.6">
      <c r="A15" s="674" t="s">
        <v>3824</v>
      </c>
      <c r="B15" s="675" t="s">
        <v>3825</v>
      </c>
      <c r="C15" s="676" t="s">
        <v>3826</v>
      </c>
    </row>
    <row r="17" spans="1:3">
      <c r="A17" s="677" t="s">
        <v>3827</v>
      </c>
      <c r="B17" s="654"/>
      <c r="C17" s="654"/>
    </row>
    <row r="18" spans="1:3" ht="409.6">
      <c r="A18" s="678" t="s">
        <v>3828</v>
      </c>
      <c r="B18" s="679" t="s">
        <v>3829</v>
      </c>
      <c r="C18" s="680" t="s">
        <v>3830</v>
      </c>
    </row>
    <row r="20" spans="1:3">
      <c r="A20" s="681" t="s">
        <v>3831</v>
      </c>
      <c r="B20" s="682"/>
      <c r="C20" s="682"/>
    </row>
    <row r="21" spans="1:3" ht="372.6">
      <c r="A21" s="688" t="s">
        <v>3832</v>
      </c>
      <c r="B21" s="689" t="s">
        <v>3833</v>
      </c>
      <c r="C21" s="690" t="s">
        <v>3834</v>
      </c>
    </row>
    <row r="23" spans="1:3">
      <c r="A23" s="691" t="s">
        <v>3835</v>
      </c>
      <c r="B23" s="692"/>
      <c r="C23" s="692"/>
    </row>
    <row r="24" spans="1:3" ht="300.60000000000002">
      <c r="A24" s="693" t="s">
        <v>3836</v>
      </c>
      <c r="B24" s="694" t="s">
        <v>3837</v>
      </c>
      <c r="C24" s="695" t="s">
        <v>3838</v>
      </c>
    </row>
    <row r="26" spans="1:3">
      <c r="A26" s="696" t="s">
        <v>3839</v>
      </c>
      <c r="B26" s="655"/>
      <c r="C26" s="655"/>
    </row>
    <row r="27" spans="1:3" ht="252.6">
      <c r="A27" s="697" t="s">
        <v>3840</v>
      </c>
      <c r="B27" s="698" t="s">
        <v>3841</v>
      </c>
      <c r="C27" s="699" t="s">
        <v>3842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E55D5-C41F-4843-8869-EFD5A02850A4}">
  <dimension ref="A1:G46"/>
  <sheetViews>
    <sheetView workbookViewId="0">
      <pane ySplit="2" topLeftCell="A3" activePane="bottomLeft" state="frozen"/>
      <selection pane="bottomLeft" activeCell="I8" sqref="I8"/>
    </sheetView>
  </sheetViews>
  <sheetFormatPr defaultRowHeight="14.4"/>
  <cols>
    <col min="1" max="1" width="7.44140625" customWidth="1"/>
    <col min="2" max="2" width="14.77734375" customWidth="1"/>
    <col min="3" max="3" width="37" customWidth="1"/>
    <col min="4" max="4" width="64.77734375" customWidth="1"/>
    <col min="5" max="5" width="46.33203125" customWidth="1"/>
    <col min="6" max="6" width="22.21875" customWidth="1"/>
    <col min="7" max="7" width="14.77734375" customWidth="1"/>
  </cols>
  <sheetData>
    <row r="1" spans="1:7" ht="21">
      <c r="A1" s="496" t="s">
        <v>3227</v>
      </c>
      <c r="B1" s="497"/>
      <c r="C1" s="497"/>
      <c r="D1" s="498" t="s">
        <v>3228</v>
      </c>
      <c r="E1" s="497"/>
      <c r="F1" s="497"/>
      <c r="G1" s="497"/>
    </row>
    <row r="2" spans="1:7">
      <c r="A2" s="499" t="s">
        <v>3229</v>
      </c>
      <c r="B2" s="499" t="s">
        <v>3230</v>
      </c>
      <c r="C2" s="500" t="s">
        <v>3231</v>
      </c>
      <c r="D2" s="500" t="s">
        <v>2252</v>
      </c>
      <c r="E2" s="500" t="s">
        <v>2253</v>
      </c>
      <c r="F2" s="499" t="s">
        <v>3232</v>
      </c>
      <c r="G2" s="499" t="s">
        <v>3233</v>
      </c>
    </row>
    <row r="3" spans="1:7" ht="43.2">
      <c r="A3" s="501"/>
      <c r="B3" s="502" t="s">
        <v>3234</v>
      </c>
      <c r="C3" s="501"/>
      <c r="D3" s="501"/>
      <c r="E3" s="501"/>
      <c r="F3" s="501"/>
      <c r="G3" s="501"/>
    </row>
    <row r="4" spans="1:7" ht="28.8">
      <c r="A4" s="503">
        <v>1</v>
      </c>
      <c r="B4" s="504" t="s">
        <v>3235</v>
      </c>
      <c r="C4" s="505" t="s">
        <v>3236</v>
      </c>
      <c r="D4" s="506" t="s">
        <v>3237</v>
      </c>
      <c r="E4" s="506" t="s">
        <v>3238</v>
      </c>
      <c r="F4" s="507" t="s">
        <v>3239</v>
      </c>
      <c r="G4" s="508" t="s">
        <v>3240</v>
      </c>
    </row>
    <row r="5" spans="1:7" ht="28.8">
      <c r="A5" s="509">
        <v>2</v>
      </c>
      <c r="B5" s="510" t="s">
        <v>3235</v>
      </c>
      <c r="C5" s="511" t="s">
        <v>3241</v>
      </c>
      <c r="D5" s="512" t="s">
        <v>3242</v>
      </c>
      <c r="E5" s="512" t="s">
        <v>3243</v>
      </c>
      <c r="F5" s="513" t="s">
        <v>3244</v>
      </c>
      <c r="G5" s="514" t="s">
        <v>3240</v>
      </c>
    </row>
    <row r="6" spans="1:7" ht="28.8">
      <c r="A6" s="503">
        <v>3</v>
      </c>
      <c r="B6" s="504" t="s">
        <v>3235</v>
      </c>
      <c r="C6" s="505" t="s">
        <v>3245</v>
      </c>
      <c r="D6" s="506" t="s">
        <v>3246</v>
      </c>
      <c r="E6" s="506" t="s">
        <v>3247</v>
      </c>
      <c r="F6" s="507" t="s">
        <v>3248</v>
      </c>
      <c r="G6" s="508" t="s">
        <v>3235</v>
      </c>
    </row>
    <row r="7" spans="1:7" ht="28.8">
      <c r="A7" s="509">
        <v>4</v>
      </c>
      <c r="B7" s="510" t="s">
        <v>3235</v>
      </c>
      <c r="C7" s="511" t="s">
        <v>3249</v>
      </c>
      <c r="D7" s="512" t="s">
        <v>3250</v>
      </c>
      <c r="E7" s="512" t="s">
        <v>3251</v>
      </c>
      <c r="F7" s="513" t="s">
        <v>3252</v>
      </c>
      <c r="G7" s="514" t="s">
        <v>3235</v>
      </c>
    </row>
    <row r="8" spans="1:7" ht="28.8">
      <c r="A8" s="503">
        <v>5</v>
      </c>
      <c r="B8" s="504" t="s">
        <v>3235</v>
      </c>
      <c r="C8" s="505" t="s">
        <v>3253</v>
      </c>
      <c r="D8" s="506" t="s">
        <v>3254</v>
      </c>
      <c r="E8" s="506" t="s">
        <v>3255</v>
      </c>
      <c r="F8" s="507" t="s">
        <v>3256</v>
      </c>
      <c r="G8" s="508" t="s">
        <v>3240</v>
      </c>
    </row>
    <row r="9" spans="1:7" ht="28.8">
      <c r="A9" s="509">
        <v>6</v>
      </c>
      <c r="B9" s="510" t="s">
        <v>3235</v>
      </c>
      <c r="C9" s="511" t="s">
        <v>3257</v>
      </c>
      <c r="D9" s="512" t="s">
        <v>3258</v>
      </c>
      <c r="E9" s="512" t="s">
        <v>3259</v>
      </c>
      <c r="F9" s="513" t="s">
        <v>3260</v>
      </c>
      <c r="G9" s="514" t="s">
        <v>3235</v>
      </c>
    </row>
    <row r="10" spans="1:7" ht="28.8">
      <c r="A10" s="503">
        <v>7</v>
      </c>
      <c r="B10" s="504" t="s">
        <v>3235</v>
      </c>
      <c r="C10" s="505" t="s">
        <v>3261</v>
      </c>
      <c r="D10" s="506" t="s">
        <v>3262</v>
      </c>
      <c r="E10" s="506" t="s">
        <v>3263</v>
      </c>
      <c r="F10" s="507" t="s">
        <v>3264</v>
      </c>
      <c r="G10" s="508" t="s">
        <v>3240</v>
      </c>
    </row>
    <row r="11" spans="1:7" ht="28.8">
      <c r="A11" s="509">
        <v>8</v>
      </c>
      <c r="B11" s="510" t="s">
        <v>3235</v>
      </c>
      <c r="C11" s="511" t="s">
        <v>3265</v>
      </c>
      <c r="D11" s="512" t="s">
        <v>3266</v>
      </c>
      <c r="E11" s="512" t="s">
        <v>3267</v>
      </c>
      <c r="F11" s="513" t="s">
        <v>3268</v>
      </c>
      <c r="G11" s="514" t="s">
        <v>3235</v>
      </c>
    </row>
    <row r="12" spans="1:7" ht="57.6">
      <c r="A12" s="515"/>
      <c r="B12" s="516" t="s">
        <v>3269</v>
      </c>
      <c r="C12" s="515"/>
      <c r="D12" s="515"/>
      <c r="E12" s="515"/>
      <c r="F12" s="515"/>
      <c r="G12" s="515"/>
    </row>
    <row r="13" spans="1:7" ht="28.8">
      <c r="A13" s="517">
        <v>9</v>
      </c>
      <c r="B13" s="518" t="s">
        <v>3270</v>
      </c>
      <c r="C13" s="519" t="s">
        <v>3271</v>
      </c>
      <c r="D13" s="520" t="s">
        <v>3272</v>
      </c>
      <c r="E13" s="520" t="s">
        <v>3273</v>
      </c>
      <c r="F13" s="521" t="s">
        <v>3274</v>
      </c>
      <c r="G13" s="522" t="s">
        <v>3275</v>
      </c>
    </row>
    <row r="14" spans="1:7" ht="28.8">
      <c r="A14" s="509">
        <v>10</v>
      </c>
      <c r="B14" s="523" t="s">
        <v>3270</v>
      </c>
      <c r="C14" s="511" t="s">
        <v>3276</v>
      </c>
      <c r="D14" s="512" t="s">
        <v>3277</v>
      </c>
      <c r="E14" s="512" t="s">
        <v>3278</v>
      </c>
      <c r="F14" s="513" t="s">
        <v>3279</v>
      </c>
      <c r="G14" s="514" t="s">
        <v>3275</v>
      </c>
    </row>
    <row r="15" spans="1:7" ht="28.8">
      <c r="A15" s="517">
        <v>11</v>
      </c>
      <c r="B15" s="518" t="s">
        <v>3270</v>
      </c>
      <c r="C15" s="519" t="s">
        <v>3280</v>
      </c>
      <c r="D15" s="520" t="s">
        <v>3281</v>
      </c>
      <c r="E15" s="520" t="s">
        <v>3282</v>
      </c>
      <c r="F15" s="521" t="s">
        <v>3283</v>
      </c>
      <c r="G15" s="522" t="s">
        <v>3240</v>
      </c>
    </row>
    <row r="16" spans="1:7" ht="28.8">
      <c r="A16" s="509">
        <v>12</v>
      </c>
      <c r="B16" s="523" t="s">
        <v>3270</v>
      </c>
      <c r="C16" s="511" t="s">
        <v>3284</v>
      </c>
      <c r="D16" s="512" t="s">
        <v>3285</v>
      </c>
      <c r="E16" s="512" t="s">
        <v>3286</v>
      </c>
      <c r="F16" s="513" t="s">
        <v>3287</v>
      </c>
      <c r="G16" s="514" t="s">
        <v>3275</v>
      </c>
    </row>
    <row r="17" spans="1:7">
      <c r="A17" s="517">
        <v>13</v>
      </c>
      <c r="B17" s="518" t="s">
        <v>3270</v>
      </c>
      <c r="C17" s="519" t="s">
        <v>3288</v>
      </c>
      <c r="D17" s="520" t="s">
        <v>3289</v>
      </c>
      <c r="E17" s="520" t="s">
        <v>3290</v>
      </c>
      <c r="F17" s="521" t="s">
        <v>3291</v>
      </c>
      <c r="G17" s="522" t="s">
        <v>3240</v>
      </c>
    </row>
    <row r="18" spans="1:7" ht="28.8">
      <c r="A18" s="509">
        <v>14</v>
      </c>
      <c r="B18" s="523" t="s">
        <v>3270</v>
      </c>
      <c r="C18" s="511" t="s">
        <v>3292</v>
      </c>
      <c r="D18" s="512" t="s">
        <v>3293</v>
      </c>
      <c r="E18" s="512" t="s">
        <v>3294</v>
      </c>
      <c r="F18" s="513" t="s">
        <v>3295</v>
      </c>
      <c r="G18" s="514" t="s">
        <v>3240</v>
      </c>
    </row>
    <row r="19" spans="1:7" ht="28.8">
      <c r="A19" s="517">
        <v>15</v>
      </c>
      <c r="B19" s="518" t="s">
        <v>3270</v>
      </c>
      <c r="C19" s="519" t="s">
        <v>3296</v>
      </c>
      <c r="D19" s="520" t="s">
        <v>3297</v>
      </c>
      <c r="E19" s="520" t="s">
        <v>3298</v>
      </c>
      <c r="F19" s="521" t="s">
        <v>3299</v>
      </c>
      <c r="G19" s="522" t="s">
        <v>3240</v>
      </c>
    </row>
    <row r="20" spans="1:7" ht="43.2">
      <c r="A20" s="524"/>
      <c r="B20" s="525" t="s">
        <v>3300</v>
      </c>
      <c r="C20" s="524"/>
      <c r="D20" s="524"/>
      <c r="E20" s="524"/>
      <c r="F20" s="524"/>
      <c r="G20" s="524"/>
    </row>
    <row r="21" spans="1:7" ht="28.8">
      <c r="A21" s="526">
        <v>16</v>
      </c>
      <c r="B21" s="527" t="s">
        <v>3301</v>
      </c>
      <c r="C21" s="528" t="s">
        <v>3302</v>
      </c>
      <c r="D21" s="529" t="s">
        <v>3303</v>
      </c>
      <c r="E21" s="529" t="s">
        <v>3304</v>
      </c>
      <c r="F21" s="530" t="s">
        <v>3305</v>
      </c>
      <c r="G21" s="531" t="s">
        <v>3306</v>
      </c>
    </row>
    <row r="22" spans="1:7" ht="28.8">
      <c r="A22" s="509">
        <v>17</v>
      </c>
      <c r="B22" s="532" t="s">
        <v>3301</v>
      </c>
      <c r="C22" s="511" t="s">
        <v>3307</v>
      </c>
      <c r="D22" s="512" t="s">
        <v>3308</v>
      </c>
      <c r="E22" s="512" t="s">
        <v>3309</v>
      </c>
      <c r="F22" s="513" t="s">
        <v>3310</v>
      </c>
      <c r="G22" s="514" t="s">
        <v>3311</v>
      </c>
    </row>
    <row r="23" spans="1:7" ht="28.8">
      <c r="A23" s="526">
        <v>18</v>
      </c>
      <c r="B23" s="527" t="s">
        <v>3301</v>
      </c>
      <c r="C23" s="528" t="s">
        <v>3312</v>
      </c>
      <c r="D23" s="529" t="s">
        <v>3313</v>
      </c>
      <c r="E23" s="529" t="s">
        <v>3314</v>
      </c>
      <c r="F23" s="530" t="s">
        <v>3315</v>
      </c>
      <c r="G23" s="531" t="s">
        <v>3301</v>
      </c>
    </row>
    <row r="24" spans="1:7" ht="28.8">
      <c r="A24" s="509">
        <v>19</v>
      </c>
      <c r="B24" s="532" t="s">
        <v>3301</v>
      </c>
      <c r="C24" s="511" t="s">
        <v>3316</v>
      </c>
      <c r="D24" s="512" t="s">
        <v>3317</v>
      </c>
      <c r="E24" s="512" t="s">
        <v>3318</v>
      </c>
      <c r="F24" s="513" t="s">
        <v>3319</v>
      </c>
      <c r="G24" s="514" t="s">
        <v>3275</v>
      </c>
    </row>
    <row r="25" spans="1:7" ht="28.8">
      <c r="A25" s="526">
        <v>20</v>
      </c>
      <c r="B25" s="527" t="s">
        <v>3301</v>
      </c>
      <c r="C25" s="528" t="s">
        <v>3320</v>
      </c>
      <c r="D25" s="529" t="s">
        <v>3321</v>
      </c>
      <c r="E25" s="529" t="s">
        <v>3322</v>
      </c>
      <c r="F25" s="530" t="s">
        <v>3323</v>
      </c>
      <c r="G25" s="531" t="s">
        <v>3301</v>
      </c>
    </row>
    <row r="26" spans="1:7" ht="28.8">
      <c r="A26" s="509">
        <v>21</v>
      </c>
      <c r="B26" s="532" t="s">
        <v>3301</v>
      </c>
      <c r="C26" s="511" t="s">
        <v>3324</v>
      </c>
      <c r="D26" s="512" t="s">
        <v>3325</v>
      </c>
      <c r="E26" s="512" t="s">
        <v>3326</v>
      </c>
      <c r="F26" s="513" t="s">
        <v>3327</v>
      </c>
      <c r="G26" s="514" t="s">
        <v>3306</v>
      </c>
    </row>
    <row r="27" spans="1:7" ht="57.6">
      <c r="A27" s="533"/>
      <c r="B27" s="534" t="s">
        <v>3328</v>
      </c>
      <c r="C27" s="533"/>
      <c r="D27" s="533"/>
      <c r="E27" s="533"/>
      <c r="F27" s="533"/>
      <c r="G27" s="533"/>
    </row>
    <row r="28" spans="1:7" ht="28.8">
      <c r="A28" s="535">
        <v>22</v>
      </c>
      <c r="B28" s="536" t="s">
        <v>3329</v>
      </c>
      <c r="C28" s="537" t="s">
        <v>3330</v>
      </c>
      <c r="D28" s="538" t="s">
        <v>3331</v>
      </c>
      <c r="E28" s="538" t="s">
        <v>3332</v>
      </c>
      <c r="F28" s="539" t="s">
        <v>3333</v>
      </c>
      <c r="G28" s="540" t="s">
        <v>3334</v>
      </c>
    </row>
    <row r="29" spans="1:7">
      <c r="A29" s="509">
        <v>23</v>
      </c>
      <c r="B29" s="541" t="s">
        <v>3329</v>
      </c>
      <c r="C29" s="511" t="s">
        <v>3335</v>
      </c>
      <c r="D29" s="512" t="s">
        <v>3336</v>
      </c>
      <c r="E29" s="512" t="s">
        <v>3337</v>
      </c>
      <c r="F29" s="513" t="s">
        <v>3338</v>
      </c>
      <c r="G29" s="514" t="s">
        <v>3339</v>
      </c>
    </row>
    <row r="30" spans="1:7" ht="28.8">
      <c r="A30" s="535">
        <v>24</v>
      </c>
      <c r="B30" s="536" t="s">
        <v>3329</v>
      </c>
      <c r="C30" s="537" t="s">
        <v>3340</v>
      </c>
      <c r="D30" s="538" t="s">
        <v>3341</v>
      </c>
      <c r="E30" s="538" t="s">
        <v>3342</v>
      </c>
      <c r="F30" s="539" t="s">
        <v>3343</v>
      </c>
      <c r="G30" s="540" t="s">
        <v>3339</v>
      </c>
    </row>
    <row r="31" spans="1:7" ht="28.8">
      <c r="A31" s="509">
        <v>25</v>
      </c>
      <c r="B31" s="541" t="s">
        <v>3329</v>
      </c>
      <c r="C31" s="511" t="s">
        <v>3344</v>
      </c>
      <c r="D31" s="512" t="s">
        <v>3345</v>
      </c>
      <c r="E31" s="512" t="s">
        <v>3346</v>
      </c>
      <c r="F31" s="513" t="s">
        <v>3347</v>
      </c>
      <c r="G31" s="514" t="s">
        <v>3334</v>
      </c>
    </row>
    <row r="32" spans="1:7" ht="28.8">
      <c r="A32" s="535">
        <v>26</v>
      </c>
      <c r="B32" s="536" t="s">
        <v>3329</v>
      </c>
      <c r="C32" s="537" t="s">
        <v>3348</v>
      </c>
      <c r="D32" s="538" t="s">
        <v>3349</v>
      </c>
      <c r="E32" s="538" t="s">
        <v>3350</v>
      </c>
      <c r="F32" s="539" t="s">
        <v>3351</v>
      </c>
      <c r="G32" s="540" t="s">
        <v>3339</v>
      </c>
    </row>
    <row r="33" spans="1:7" ht="28.8">
      <c r="A33" s="509">
        <v>27</v>
      </c>
      <c r="B33" s="541" t="s">
        <v>3329</v>
      </c>
      <c r="C33" s="511" t="s">
        <v>3352</v>
      </c>
      <c r="D33" s="512" t="s">
        <v>3353</v>
      </c>
      <c r="E33" s="512" t="s">
        <v>3354</v>
      </c>
      <c r="F33" s="513" t="s">
        <v>3355</v>
      </c>
      <c r="G33" s="514" t="s">
        <v>3334</v>
      </c>
    </row>
    <row r="34" spans="1:7" ht="28.8">
      <c r="A34" s="535">
        <v>28</v>
      </c>
      <c r="B34" s="536" t="s">
        <v>3329</v>
      </c>
      <c r="C34" s="537" t="s">
        <v>3356</v>
      </c>
      <c r="D34" s="538" t="s">
        <v>3357</v>
      </c>
      <c r="E34" s="538" t="s">
        <v>3358</v>
      </c>
      <c r="F34" s="539" t="s">
        <v>3359</v>
      </c>
      <c r="G34" s="540" t="s">
        <v>3334</v>
      </c>
    </row>
    <row r="35" spans="1:7" ht="57.6">
      <c r="A35" s="542"/>
      <c r="B35" s="543" t="s">
        <v>3360</v>
      </c>
      <c r="C35" s="542"/>
      <c r="D35" s="542"/>
      <c r="E35" s="542"/>
      <c r="F35" s="542"/>
      <c r="G35" s="542"/>
    </row>
    <row r="36" spans="1:7" ht="28.8">
      <c r="A36" s="544">
        <v>29</v>
      </c>
      <c r="B36" s="545" t="s">
        <v>3361</v>
      </c>
      <c r="C36" s="546" t="s">
        <v>3362</v>
      </c>
      <c r="D36" s="547" t="s">
        <v>3363</v>
      </c>
      <c r="E36" s="547" t="s">
        <v>3364</v>
      </c>
      <c r="F36" s="548" t="s">
        <v>3365</v>
      </c>
      <c r="G36" s="549" t="s">
        <v>3361</v>
      </c>
    </row>
    <row r="37" spans="1:7" ht="28.8">
      <c r="A37" s="509">
        <v>30</v>
      </c>
      <c r="B37" s="550" t="s">
        <v>3361</v>
      </c>
      <c r="C37" s="511" t="s">
        <v>3366</v>
      </c>
      <c r="D37" s="512" t="s">
        <v>3367</v>
      </c>
      <c r="E37" s="512" t="s">
        <v>3368</v>
      </c>
      <c r="F37" s="513" t="s">
        <v>3369</v>
      </c>
      <c r="G37" s="514" t="s">
        <v>3361</v>
      </c>
    </row>
    <row r="38" spans="1:7" ht="28.8">
      <c r="A38" s="544">
        <v>31</v>
      </c>
      <c r="B38" s="545" t="s">
        <v>3361</v>
      </c>
      <c r="C38" s="546" t="s">
        <v>3370</v>
      </c>
      <c r="D38" s="547" t="s">
        <v>3371</v>
      </c>
      <c r="E38" s="547" t="s">
        <v>3372</v>
      </c>
      <c r="F38" s="548" t="s">
        <v>3373</v>
      </c>
      <c r="G38" s="549" t="s">
        <v>3361</v>
      </c>
    </row>
    <row r="39" spans="1:7" ht="28.8">
      <c r="A39" s="509">
        <v>32</v>
      </c>
      <c r="B39" s="550" t="s">
        <v>3361</v>
      </c>
      <c r="C39" s="511" t="s">
        <v>3374</v>
      </c>
      <c r="D39" s="512" t="s">
        <v>3375</v>
      </c>
      <c r="E39" s="512" t="s">
        <v>3376</v>
      </c>
      <c r="F39" s="513" t="s">
        <v>3377</v>
      </c>
      <c r="G39" s="514" t="s">
        <v>3361</v>
      </c>
    </row>
    <row r="40" spans="1:7" ht="28.8">
      <c r="A40" s="544">
        <v>33</v>
      </c>
      <c r="B40" s="545" t="s">
        <v>3361</v>
      </c>
      <c r="C40" s="546" t="s">
        <v>3378</v>
      </c>
      <c r="D40" s="547" t="s">
        <v>3379</v>
      </c>
      <c r="E40" s="547" t="s">
        <v>3380</v>
      </c>
      <c r="F40" s="548" t="s">
        <v>3381</v>
      </c>
      <c r="G40" s="549" t="s">
        <v>3361</v>
      </c>
    </row>
    <row r="41" spans="1:7" ht="28.8">
      <c r="A41" s="509">
        <v>34</v>
      </c>
      <c r="B41" s="550" t="s">
        <v>3361</v>
      </c>
      <c r="C41" s="511" t="s">
        <v>3382</v>
      </c>
      <c r="D41" s="512" t="s">
        <v>3383</v>
      </c>
      <c r="E41" s="512" t="s">
        <v>3384</v>
      </c>
      <c r="F41" s="513" t="s">
        <v>3385</v>
      </c>
      <c r="G41" s="514" t="s">
        <v>3361</v>
      </c>
    </row>
    <row r="42" spans="1:7" ht="57.6">
      <c r="A42" s="551"/>
      <c r="B42" s="552" t="s">
        <v>3386</v>
      </c>
      <c r="C42" s="553" t="s">
        <v>3387</v>
      </c>
      <c r="D42" s="551"/>
      <c r="E42" s="551"/>
      <c r="F42" s="551"/>
      <c r="G42" s="551"/>
    </row>
    <row r="43" spans="1:7" ht="28.8">
      <c r="A43" s="554">
        <v>35</v>
      </c>
      <c r="B43" s="555" t="s">
        <v>3388</v>
      </c>
      <c r="C43" s="556" t="s">
        <v>3389</v>
      </c>
      <c r="D43" s="557" t="s">
        <v>3390</v>
      </c>
      <c r="E43" s="557" t="s">
        <v>3391</v>
      </c>
      <c r="F43" s="558" t="s">
        <v>3392</v>
      </c>
      <c r="G43" s="559" t="s">
        <v>3393</v>
      </c>
    </row>
    <row r="44" spans="1:7" ht="28.8">
      <c r="A44" s="509">
        <v>36</v>
      </c>
      <c r="B44" s="560" t="s">
        <v>3388</v>
      </c>
      <c r="C44" s="511" t="s">
        <v>3394</v>
      </c>
      <c r="D44" s="512" t="s">
        <v>3395</v>
      </c>
      <c r="E44" s="512" t="s">
        <v>3396</v>
      </c>
      <c r="F44" s="513" t="s">
        <v>3397</v>
      </c>
      <c r="G44" s="514" t="s">
        <v>3393</v>
      </c>
    </row>
    <row r="45" spans="1:7" ht="28.8">
      <c r="A45" s="554">
        <v>37</v>
      </c>
      <c r="B45" s="555" t="s">
        <v>3388</v>
      </c>
      <c r="C45" s="556" t="s">
        <v>3398</v>
      </c>
      <c r="D45" s="557" t="s">
        <v>3399</v>
      </c>
      <c r="E45" s="557" t="s">
        <v>3400</v>
      </c>
      <c r="F45" s="558" t="s">
        <v>3401</v>
      </c>
      <c r="G45" s="559" t="s">
        <v>3393</v>
      </c>
    </row>
    <row r="46" spans="1:7" ht="28.8">
      <c r="A46" s="509">
        <v>38</v>
      </c>
      <c r="B46" s="560" t="s">
        <v>3388</v>
      </c>
      <c r="C46" s="511" t="s">
        <v>3402</v>
      </c>
      <c r="D46" s="512" t="s">
        <v>3403</v>
      </c>
      <c r="E46" s="512" t="s">
        <v>3404</v>
      </c>
      <c r="F46" s="513" t="s">
        <v>3405</v>
      </c>
      <c r="G46" s="514" t="s">
        <v>3393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33424-4E39-40E8-9388-C021769F78E4}">
  <dimension ref="A1:G11"/>
  <sheetViews>
    <sheetView workbookViewId="0">
      <pane ySplit="2" topLeftCell="A3" activePane="bottomLeft" state="frozen"/>
      <selection pane="bottomLeft"/>
    </sheetView>
  </sheetViews>
  <sheetFormatPr defaultRowHeight="14.4"/>
  <cols>
    <col min="1" max="1" width="7.44140625" customWidth="1"/>
    <col min="2" max="2" width="22.21875" customWidth="1"/>
    <col min="3" max="3" width="46.33203125" customWidth="1"/>
    <col min="4" max="4" width="55.5546875" customWidth="1"/>
    <col min="5" max="5" width="46.33203125" customWidth="1"/>
    <col min="6" max="6" width="22.21875" customWidth="1"/>
    <col min="7" max="7" width="55.5546875" customWidth="1"/>
  </cols>
  <sheetData>
    <row r="1" spans="1:7" ht="21">
      <c r="A1" s="496" t="s">
        <v>3406</v>
      </c>
      <c r="B1" s="497"/>
      <c r="C1" s="497"/>
      <c r="D1" s="498" t="s">
        <v>3407</v>
      </c>
      <c r="E1" s="497"/>
      <c r="F1" s="497"/>
      <c r="G1" s="497"/>
    </row>
    <row r="2" spans="1:7">
      <c r="A2" s="499" t="s">
        <v>84</v>
      </c>
      <c r="B2" s="500" t="s">
        <v>3408</v>
      </c>
      <c r="C2" s="500" t="s">
        <v>3409</v>
      </c>
      <c r="D2" s="500" t="s">
        <v>2252</v>
      </c>
      <c r="E2" s="500" t="s">
        <v>2253</v>
      </c>
      <c r="F2" s="499" t="s">
        <v>3232</v>
      </c>
      <c r="G2" s="500" t="s">
        <v>3410</v>
      </c>
    </row>
    <row r="3" spans="1:7" ht="43.2">
      <c r="A3" s="561">
        <v>1</v>
      </c>
      <c r="B3" s="562" t="s">
        <v>2268</v>
      </c>
      <c r="C3" s="563" t="s">
        <v>3411</v>
      </c>
      <c r="D3" s="506" t="s">
        <v>3412</v>
      </c>
      <c r="E3" s="506" t="s">
        <v>3413</v>
      </c>
      <c r="F3" s="564" t="s">
        <v>2268</v>
      </c>
      <c r="G3" s="506" t="s">
        <v>3414</v>
      </c>
    </row>
    <row r="4" spans="1:7" ht="43.2">
      <c r="A4" s="565">
        <v>2</v>
      </c>
      <c r="B4" s="566" t="s">
        <v>3415</v>
      </c>
      <c r="C4" s="512" t="s">
        <v>3416</v>
      </c>
      <c r="D4" s="512" t="s">
        <v>3417</v>
      </c>
      <c r="E4" s="512" t="s">
        <v>3418</v>
      </c>
      <c r="F4" s="567" t="s">
        <v>3415</v>
      </c>
      <c r="G4" s="512" t="s">
        <v>3419</v>
      </c>
    </row>
    <row r="5" spans="1:7" ht="43.2">
      <c r="A5" s="561">
        <v>3</v>
      </c>
      <c r="B5" s="562" t="s">
        <v>3420</v>
      </c>
      <c r="C5" s="563" t="s">
        <v>3421</v>
      </c>
      <c r="D5" s="506" t="s">
        <v>3422</v>
      </c>
      <c r="E5" s="506" t="s">
        <v>3423</v>
      </c>
      <c r="F5" s="564" t="s">
        <v>3420</v>
      </c>
      <c r="G5" s="506" t="s">
        <v>3424</v>
      </c>
    </row>
    <row r="6" spans="1:7" ht="57.6">
      <c r="A6" s="565">
        <v>4</v>
      </c>
      <c r="B6" s="568" t="s">
        <v>3425</v>
      </c>
      <c r="C6" s="512" t="s">
        <v>3426</v>
      </c>
      <c r="D6" s="512" t="s">
        <v>3427</v>
      </c>
      <c r="E6" s="512" t="s">
        <v>3428</v>
      </c>
      <c r="F6" s="567" t="s">
        <v>3425</v>
      </c>
      <c r="G6" s="512" t="s">
        <v>3429</v>
      </c>
    </row>
    <row r="7" spans="1:7" ht="28.8">
      <c r="A7" s="561">
        <v>5</v>
      </c>
      <c r="B7" s="562" t="s">
        <v>3430</v>
      </c>
      <c r="C7" s="563" t="s">
        <v>3431</v>
      </c>
      <c r="D7" s="506" t="s">
        <v>3432</v>
      </c>
      <c r="E7" s="506" t="s">
        <v>3433</v>
      </c>
      <c r="F7" s="564" t="s">
        <v>3430</v>
      </c>
      <c r="G7" s="506" t="s">
        <v>3434</v>
      </c>
    </row>
    <row r="8" spans="1:7" ht="43.2">
      <c r="A8" s="565">
        <v>6</v>
      </c>
      <c r="B8" s="562" t="s">
        <v>3435</v>
      </c>
      <c r="C8" s="512" t="s">
        <v>3436</v>
      </c>
      <c r="D8" s="512" t="s">
        <v>3437</v>
      </c>
      <c r="E8" s="512" t="s">
        <v>3438</v>
      </c>
      <c r="F8" s="567" t="s">
        <v>3435</v>
      </c>
      <c r="G8" s="512" t="s">
        <v>3439</v>
      </c>
    </row>
    <row r="9" spans="1:7" ht="43.2">
      <c r="A9" s="561">
        <v>7</v>
      </c>
      <c r="B9" s="562" t="s">
        <v>3440</v>
      </c>
      <c r="C9" s="563" t="s">
        <v>3441</v>
      </c>
      <c r="D9" s="506" t="s">
        <v>3442</v>
      </c>
      <c r="E9" s="506" t="s">
        <v>3443</v>
      </c>
      <c r="F9" s="564" t="s">
        <v>3440</v>
      </c>
      <c r="G9" s="506" t="s">
        <v>3444</v>
      </c>
    </row>
    <row r="10" spans="1:7" ht="43.2">
      <c r="A10" s="565">
        <v>8</v>
      </c>
      <c r="B10" s="562" t="s">
        <v>3445</v>
      </c>
      <c r="C10" s="512" t="s">
        <v>3446</v>
      </c>
      <c r="D10" s="512" t="s">
        <v>3447</v>
      </c>
      <c r="E10" s="512" t="s">
        <v>3448</v>
      </c>
      <c r="F10" s="567" t="s">
        <v>3445</v>
      </c>
      <c r="G10" s="512" t="s">
        <v>3449</v>
      </c>
    </row>
    <row r="11" spans="1:7" ht="43.2">
      <c r="A11" s="561">
        <v>9</v>
      </c>
      <c r="B11" s="562" t="s">
        <v>3450</v>
      </c>
      <c r="C11" s="563" t="s">
        <v>3451</v>
      </c>
      <c r="D11" s="506" t="s">
        <v>3452</v>
      </c>
      <c r="E11" s="506" t="s">
        <v>3453</v>
      </c>
      <c r="F11" s="564" t="s">
        <v>3450</v>
      </c>
      <c r="G11" s="506" t="s">
        <v>3454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9A3D5-EFAA-422D-AB31-5A6FB6865282}">
  <dimension ref="A1:F28"/>
  <sheetViews>
    <sheetView workbookViewId="0">
      <pane ySplit="2" topLeftCell="A3" activePane="bottomLeft" state="frozen"/>
      <selection pane="bottomLeft"/>
    </sheetView>
  </sheetViews>
  <sheetFormatPr defaultRowHeight="14.4"/>
  <cols>
    <col min="1" max="1" width="7.44140625" customWidth="1"/>
    <col min="2" max="2" width="29.6640625" customWidth="1"/>
    <col min="3" max="3" width="18.5546875" customWidth="1"/>
    <col min="4" max="4" width="55.5546875" customWidth="1"/>
    <col min="5" max="5" width="64.77734375" customWidth="1"/>
    <col min="6" max="6" width="22.21875" customWidth="1"/>
  </cols>
  <sheetData>
    <row r="1" spans="1:6" ht="21">
      <c r="A1" s="496" t="s">
        <v>3455</v>
      </c>
      <c r="B1" s="497"/>
      <c r="C1" s="497"/>
      <c r="D1" s="498" t="s">
        <v>3456</v>
      </c>
      <c r="E1" s="497"/>
      <c r="F1" s="497"/>
    </row>
    <row r="2" spans="1:6">
      <c r="A2" s="499" t="s">
        <v>84</v>
      </c>
      <c r="B2" s="500" t="s">
        <v>3457</v>
      </c>
      <c r="C2" s="499" t="s">
        <v>2294</v>
      </c>
      <c r="D2" s="500" t="s">
        <v>3458</v>
      </c>
      <c r="E2" s="500" t="s">
        <v>3459</v>
      </c>
      <c r="F2" s="499" t="s">
        <v>3460</v>
      </c>
    </row>
    <row r="3" spans="1:6" ht="28.8">
      <c r="A3" s="501"/>
      <c r="B3" s="502" t="s">
        <v>3461</v>
      </c>
      <c r="C3" s="501"/>
      <c r="D3" s="501"/>
      <c r="E3" s="501"/>
      <c r="F3" s="501"/>
    </row>
    <row r="4" spans="1:6" ht="28.8">
      <c r="A4" s="503">
        <v>1</v>
      </c>
      <c r="B4" s="505" t="s">
        <v>3462</v>
      </c>
      <c r="C4" s="504" t="s">
        <v>3463</v>
      </c>
      <c r="D4" s="506" t="s">
        <v>3464</v>
      </c>
      <c r="E4" s="569" t="s">
        <v>3465</v>
      </c>
      <c r="F4" s="503" t="s">
        <v>3393</v>
      </c>
    </row>
    <row r="5" spans="1:6" ht="24">
      <c r="A5" s="509">
        <v>2</v>
      </c>
      <c r="B5" s="511" t="s">
        <v>3466</v>
      </c>
      <c r="C5" s="510" t="s">
        <v>3463</v>
      </c>
      <c r="D5" s="512" t="s">
        <v>3467</v>
      </c>
      <c r="E5" s="570" t="s">
        <v>3468</v>
      </c>
      <c r="F5" s="509" t="s">
        <v>3393</v>
      </c>
    </row>
    <row r="6" spans="1:6" ht="24">
      <c r="A6" s="503">
        <v>3</v>
      </c>
      <c r="B6" s="505" t="s">
        <v>3469</v>
      </c>
      <c r="C6" s="504" t="s">
        <v>3463</v>
      </c>
      <c r="D6" s="506" t="s">
        <v>3470</v>
      </c>
      <c r="E6" s="569" t="s">
        <v>3471</v>
      </c>
      <c r="F6" s="503" t="s">
        <v>3393</v>
      </c>
    </row>
    <row r="7" spans="1:6" ht="28.8">
      <c r="A7" s="509">
        <v>4</v>
      </c>
      <c r="B7" s="511" t="s">
        <v>3472</v>
      </c>
      <c r="C7" s="510" t="s">
        <v>3463</v>
      </c>
      <c r="D7" s="512" t="s">
        <v>3473</v>
      </c>
      <c r="E7" s="570" t="s">
        <v>3474</v>
      </c>
      <c r="F7" s="509" t="s">
        <v>3393</v>
      </c>
    </row>
    <row r="8" spans="1:6" ht="28.8">
      <c r="A8" s="503">
        <v>5</v>
      </c>
      <c r="B8" s="505" t="s">
        <v>3475</v>
      </c>
      <c r="C8" s="504" t="s">
        <v>3463</v>
      </c>
      <c r="D8" s="506" t="s">
        <v>3476</v>
      </c>
      <c r="E8" s="569" t="s">
        <v>3477</v>
      </c>
      <c r="F8" s="503" t="s">
        <v>3393</v>
      </c>
    </row>
    <row r="9" spans="1:6" ht="24">
      <c r="A9" s="509">
        <v>6</v>
      </c>
      <c r="B9" s="511" t="s">
        <v>3478</v>
      </c>
      <c r="C9" s="510" t="s">
        <v>3463</v>
      </c>
      <c r="D9" s="512" t="s">
        <v>3479</v>
      </c>
      <c r="E9" s="570" t="s">
        <v>3480</v>
      </c>
      <c r="F9" s="509" t="s">
        <v>3393</v>
      </c>
    </row>
    <row r="10" spans="1:6" ht="28.8">
      <c r="A10" s="503">
        <v>7</v>
      </c>
      <c r="B10" s="505" t="s">
        <v>3481</v>
      </c>
      <c r="C10" s="504" t="s">
        <v>3463</v>
      </c>
      <c r="D10" s="506" t="s">
        <v>3482</v>
      </c>
      <c r="E10" s="569" t="s">
        <v>3483</v>
      </c>
      <c r="F10" s="503" t="s">
        <v>3393</v>
      </c>
    </row>
    <row r="11" spans="1:6" ht="28.8">
      <c r="A11" s="509">
        <v>8</v>
      </c>
      <c r="B11" s="511" t="s">
        <v>3484</v>
      </c>
      <c r="C11" s="510" t="s">
        <v>3463</v>
      </c>
      <c r="D11" s="512" t="s">
        <v>3485</v>
      </c>
      <c r="E11" s="570" t="s">
        <v>3486</v>
      </c>
      <c r="F11" s="509" t="s">
        <v>3393</v>
      </c>
    </row>
    <row r="12" spans="1:6" ht="24">
      <c r="A12" s="503">
        <v>9</v>
      </c>
      <c r="B12" s="505" t="s">
        <v>3487</v>
      </c>
      <c r="C12" s="504" t="s">
        <v>3463</v>
      </c>
      <c r="D12" s="506" t="s">
        <v>3488</v>
      </c>
      <c r="E12" s="569" t="s">
        <v>3489</v>
      </c>
      <c r="F12" s="503" t="s">
        <v>3393</v>
      </c>
    </row>
    <row r="13" spans="1:6" ht="28.8">
      <c r="A13" s="509">
        <v>10</v>
      </c>
      <c r="B13" s="511" t="s">
        <v>3490</v>
      </c>
      <c r="C13" s="510" t="s">
        <v>3463</v>
      </c>
      <c r="D13" s="512" t="s">
        <v>3491</v>
      </c>
      <c r="E13" s="570" t="s">
        <v>3492</v>
      </c>
      <c r="F13" s="509" t="s">
        <v>3393</v>
      </c>
    </row>
    <row r="14" spans="1:6" ht="28.8">
      <c r="A14" s="515"/>
      <c r="B14" s="571" t="s">
        <v>3493</v>
      </c>
      <c r="C14" s="515"/>
      <c r="D14" s="515"/>
      <c r="E14" s="515"/>
      <c r="F14" s="515"/>
    </row>
    <row r="15" spans="1:6" ht="28.8">
      <c r="A15" s="517">
        <v>11</v>
      </c>
      <c r="B15" s="519" t="s">
        <v>3494</v>
      </c>
      <c r="C15" s="518" t="s">
        <v>3495</v>
      </c>
      <c r="D15" s="520" t="s">
        <v>3496</v>
      </c>
      <c r="E15" s="572" t="s">
        <v>3497</v>
      </c>
      <c r="F15" s="573" t="s">
        <v>3498</v>
      </c>
    </row>
    <row r="16" spans="1:6" ht="28.8">
      <c r="A16" s="509">
        <v>12</v>
      </c>
      <c r="B16" s="511" t="s">
        <v>3499</v>
      </c>
      <c r="C16" s="523" t="s">
        <v>3495</v>
      </c>
      <c r="D16" s="512" t="s">
        <v>3500</v>
      </c>
      <c r="E16" s="570" t="s">
        <v>3501</v>
      </c>
      <c r="F16" s="574" t="s">
        <v>3502</v>
      </c>
    </row>
    <row r="17" spans="1:6" ht="28.8">
      <c r="A17" s="517">
        <v>13</v>
      </c>
      <c r="B17" s="519" t="s">
        <v>3503</v>
      </c>
      <c r="C17" s="518" t="s">
        <v>3495</v>
      </c>
      <c r="D17" s="520" t="s">
        <v>3504</v>
      </c>
      <c r="E17" s="572" t="s">
        <v>3505</v>
      </c>
      <c r="F17" s="573" t="s">
        <v>3506</v>
      </c>
    </row>
    <row r="18" spans="1:6" ht="28.8">
      <c r="A18" s="509">
        <v>14</v>
      </c>
      <c r="B18" s="511" t="s">
        <v>3507</v>
      </c>
      <c r="C18" s="523" t="s">
        <v>3495</v>
      </c>
      <c r="D18" s="512" t="s">
        <v>3508</v>
      </c>
      <c r="E18" s="570" t="s">
        <v>3509</v>
      </c>
      <c r="F18" s="574" t="s">
        <v>3510</v>
      </c>
    </row>
    <row r="19" spans="1:6" ht="28.8">
      <c r="A19" s="517">
        <v>15</v>
      </c>
      <c r="B19" s="519" t="s">
        <v>3511</v>
      </c>
      <c r="C19" s="518" t="s">
        <v>3495</v>
      </c>
      <c r="D19" s="520" t="s">
        <v>3512</v>
      </c>
      <c r="E19" s="572" t="s">
        <v>3513</v>
      </c>
      <c r="F19" s="573" t="s">
        <v>3514</v>
      </c>
    </row>
    <row r="20" spans="1:6" ht="28.8">
      <c r="A20" s="509">
        <v>16</v>
      </c>
      <c r="B20" s="575" t="s">
        <v>3515</v>
      </c>
      <c r="C20" s="541" t="s">
        <v>3425</v>
      </c>
      <c r="D20" s="512" t="s">
        <v>3516</v>
      </c>
      <c r="E20" s="570" t="s">
        <v>3517</v>
      </c>
      <c r="F20" s="576" t="s">
        <v>3425</v>
      </c>
    </row>
    <row r="21" spans="1:6" ht="28.8">
      <c r="A21" s="535">
        <v>17</v>
      </c>
      <c r="B21" s="577" t="s">
        <v>3518</v>
      </c>
      <c r="C21" s="536" t="s">
        <v>3425</v>
      </c>
      <c r="D21" s="538" t="s">
        <v>3519</v>
      </c>
      <c r="E21" s="578" t="s">
        <v>3520</v>
      </c>
      <c r="F21" s="579" t="s">
        <v>3521</v>
      </c>
    </row>
    <row r="22" spans="1:6" ht="28.8">
      <c r="A22" s="509">
        <v>18</v>
      </c>
      <c r="B22" s="575" t="s">
        <v>3522</v>
      </c>
      <c r="C22" s="541" t="s">
        <v>3425</v>
      </c>
      <c r="D22" s="512" t="s">
        <v>3523</v>
      </c>
      <c r="E22" s="570" t="s">
        <v>3524</v>
      </c>
      <c r="F22" s="576" t="s">
        <v>3425</v>
      </c>
    </row>
    <row r="23" spans="1:6" ht="36">
      <c r="A23" s="517">
        <v>19</v>
      </c>
      <c r="B23" s="519" t="s">
        <v>3525</v>
      </c>
      <c r="C23" s="518" t="s">
        <v>3430</v>
      </c>
      <c r="D23" s="520" t="s">
        <v>3526</v>
      </c>
      <c r="E23" s="572" t="s">
        <v>3527</v>
      </c>
      <c r="F23" s="573" t="s">
        <v>3430</v>
      </c>
    </row>
    <row r="24" spans="1:6" ht="28.8">
      <c r="A24" s="509">
        <v>20</v>
      </c>
      <c r="B24" s="511" t="s">
        <v>3528</v>
      </c>
      <c r="C24" s="523" t="s">
        <v>3430</v>
      </c>
      <c r="D24" s="512" t="s">
        <v>3529</v>
      </c>
      <c r="E24" s="570" t="s">
        <v>3530</v>
      </c>
      <c r="F24" s="574" t="s">
        <v>3430</v>
      </c>
    </row>
    <row r="25" spans="1:6" ht="36">
      <c r="A25" s="517">
        <v>21</v>
      </c>
      <c r="B25" s="519" t="s">
        <v>3531</v>
      </c>
      <c r="C25" s="518" t="s">
        <v>3532</v>
      </c>
      <c r="D25" s="520" t="s">
        <v>3533</v>
      </c>
      <c r="E25" s="572" t="s">
        <v>3534</v>
      </c>
      <c r="F25" s="573" t="s">
        <v>3535</v>
      </c>
    </row>
    <row r="26" spans="1:6" ht="28.8">
      <c r="A26" s="509">
        <v>22</v>
      </c>
      <c r="B26" s="511" t="s">
        <v>3536</v>
      </c>
      <c r="C26" s="523" t="s">
        <v>3435</v>
      </c>
      <c r="D26" s="512" t="s">
        <v>3537</v>
      </c>
      <c r="E26" s="570" t="s">
        <v>3538</v>
      </c>
      <c r="F26" s="574" t="s">
        <v>3435</v>
      </c>
    </row>
    <row r="27" spans="1:6" ht="36">
      <c r="A27" s="517">
        <v>23</v>
      </c>
      <c r="B27" s="519" t="s">
        <v>3539</v>
      </c>
      <c r="C27" s="518" t="s">
        <v>3445</v>
      </c>
      <c r="D27" s="520" t="s">
        <v>3540</v>
      </c>
      <c r="E27" s="572" t="s">
        <v>3541</v>
      </c>
      <c r="F27" s="573" t="s">
        <v>3445</v>
      </c>
    </row>
    <row r="28" spans="1:6" ht="28.8">
      <c r="A28" s="509">
        <v>24</v>
      </c>
      <c r="B28" s="511" t="s">
        <v>3542</v>
      </c>
      <c r="C28" s="523" t="s">
        <v>3532</v>
      </c>
      <c r="D28" s="512" t="s">
        <v>3543</v>
      </c>
      <c r="E28" s="570" t="s">
        <v>3544</v>
      </c>
      <c r="F28" s="574" t="s">
        <v>3545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B2BD9-CE7A-4BAD-92F5-73A2C9DF040B}">
  <dimension ref="A1:K30"/>
  <sheetViews>
    <sheetView workbookViewId="0">
      <pane ySplit="2" topLeftCell="A3" activePane="bottomLeft" state="frozen"/>
      <selection pane="bottomLeft"/>
    </sheetView>
  </sheetViews>
  <sheetFormatPr defaultRowHeight="14.4"/>
  <cols>
    <col min="1" max="1" width="7.44140625" customWidth="1"/>
    <col min="2" max="2" width="33.33203125" customWidth="1"/>
    <col min="3" max="11" width="13" customWidth="1"/>
  </cols>
  <sheetData>
    <row r="1" spans="1:11" ht="21">
      <c r="A1" s="496" t="s">
        <v>3546</v>
      </c>
      <c r="B1" s="497"/>
      <c r="C1" s="497"/>
      <c r="D1" s="497"/>
      <c r="E1" s="497"/>
      <c r="F1" s="497"/>
      <c r="G1" s="497"/>
      <c r="H1" s="497"/>
      <c r="I1" s="497"/>
      <c r="J1" s="497"/>
      <c r="K1" s="497"/>
    </row>
    <row r="2" spans="1:11">
      <c r="A2" s="580" t="s">
        <v>84</v>
      </c>
      <c r="B2" s="581" t="s">
        <v>3547</v>
      </c>
      <c r="C2" s="580" t="s">
        <v>2268</v>
      </c>
      <c r="D2" s="580" t="s">
        <v>3415</v>
      </c>
      <c r="E2" s="580" t="s">
        <v>3548</v>
      </c>
      <c r="F2" s="582" t="s">
        <v>3549</v>
      </c>
      <c r="G2" s="580" t="s">
        <v>3550</v>
      </c>
      <c r="H2" s="580" t="s">
        <v>3551</v>
      </c>
      <c r="I2" s="580" t="s">
        <v>3440</v>
      </c>
      <c r="J2" s="580" t="s">
        <v>3445</v>
      </c>
      <c r="K2" s="580" t="s">
        <v>3450</v>
      </c>
    </row>
    <row r="3" spans="1:11">
      <c r="A3" s="583"/>
      <c r="B3" s="584" t="s">
        <v>3552</v>
      </c>
      <c r="C3" s="583"/>
      <c r="D3" s="583"/>
      <c r="E3" s="583"/>
      <c r="F3" s="583"/>
      <c r="G3" s="583"/>
      <c r="H3" s="583"/>
      <c r="I3" s="583"/>
      <c r="J3" s="583"/>
      <c r="K3" s="583"/>
    </row>
    <row r="4" spans="1:11">
      <c r="A4" s="585">
        <v>1</v>
      </c>
      <c r="B4" s="586" t="s">
        <v>3462</v>
      </c>
      <c r="C4" s="587" t="s">
        <v>3553</v>
      </c>
      <c r="D4" s="587" t="s">
        <v>3553</v>
      </c>
      <c r="E4" s="587" t="s">
        <v>3553</v>
      </c>
      <c r="F4" s="587" t="s">
        <v>3553</v>
      </c>
      <c r="G4" s="587" t="s">
        <v>3553</v>
      </c>
      <c r="H4" s="587" t="s">
        <v>3553</v>
      </c>
      <c r="I4" s="587" t="s">
        <v>3553</v>
      </c>
      <c r="J4" s="587" t="s">
        <v>3553</v>
      </c>
      <c r="K4" s="587" t="s">
        <v>3553</v>
      </c>
    </row>
    <row r="5" spans="1:11">
      <c r="A5" s="588">
        <v>2</v>
      </c>
      <c r="B5" s="589" t="s">
        <v>3466</v>
      </c>
      <c r="C5" s="590" t="s">
        <v>3553</v>
      </c>
      <c r="D5" s="590" t="s">
        <v>3553</v>
      </c>
      <c r="E5" s="590" t="s">
        <v>3553</v>
      </c>
      <c r="F5" s="590" t="s">
        <v>3553</v>
      </c>
      <c r="G5" s="590" t="s">
        <v>3553</v>
      </c>
      <c r="H5" s="590" t="s">
        <v>3553</v>
      </c>
      <c r="I5" s="590" t="s">
        <v>3553</v>
      </c>
      <c r="J5" s="590" t="s">
        <v>3553</v>
      </c>
      <c r="K5" s="590" t="s">
        <v>3553</v>
      </c>
    </row>
    <row r="6" spans="1:11">
      <c r="A6" s="591">
        <v>3</v>
      </c>
      <c r="B6" s="586" t="s">
        <v>3469</v>
      </c>
      <c r="C6" s="587" t="s">
        <v>3553</v>
      </c>
      <c r="D6" s="587" t="s">
        <v>3553</v>
      </c>
      <c r="E6" s="587" t="s">
        <v>3553</v>
      </c>
      <c r="F6" s="587" t="s">
        <v>3553</v>
      </c>
      <c r="G6" s="587" t="s">
        <v>3553</v>
      </c>
      <c r="H6" s="587" t="s">
        <v>3553</v>
      </c>
      <c r="I6" s="587" t="s">
        <v>3553</v>
      </c>
      <c r="J6" s="587" t="s">
        <v>3553</v>
      </c>
      <c r="K6" s="587" t="s">
        <v>3553</v>
      </c>
    </row>
    <row r="7" spans="1:11">
      <c r="A7" s="588">
        <v>4</v>
      </c>
      <c r="B7" s="589" t="s">
        <v>3472</v>
      </c>
      <c r="C7" s="590" t="s">
        <v>3553</v>
      </c>
      <c r="D7" s="590" t="s">
        <v>3553</v>
      </c>
      <c r="E7" s="590" t="s">
        <v>3553</v>
      </c>
      <c r="F7" s="590" t="s">
        <v>3553</v>
      </c>
      <c r="G7" s="590" t="s">
        <v>3553</v>
      </c>
      <c r="H7" s="590" t="s">
        <v>3553</v>
      </c>
      <c r="I7" s="590" t="s">
        <v>3553</v>
      </c>
      <c r="J7" s="590" t="s">
        <v>3553</v>
      </c>
      <c r="K7" s="590" t="s">
        <v>3553</v>
      </c>
    </row>
    <row r="8" spans="1:11">
      <c r="A8" s="591">
        <v>5</v>
      </c>
      <c r="B8" s="586" t="s">
        <v>3475</v>
      </c>
      <c r="C8" s="587" t="s">
        <v>3553</v>
      </c>
      <c r="D8" s="587" t="s">
        <v>3553</v>
      </c>
      <c r="E8" s="587" t="s">
        <v>3553</v>
      </c>
      <c r="F8" s="587" t="s">
        <v>3553</v>
      </c>
      <c r="G8" s="587" t="s">
        <v>3553</v>
      </c>
      <c r="H8" s="587" t="s">
        <v>3553</v>
      </c>
      <c r="I8" s="587" t="s">
        <v>3553</v>
      </c>
      <c r="J8" s="587" t="s">
        <v>3553</v>
      </c>
      <c r="K8" s="587" t="s">
        <v>3553</v>
      </c>
    </row>
    <row r="9" spans="1:11">
      <c r="A9" s="588">
        <v>6</v>
      </c>
      <c r="B9" s="589" t="s">
        <v>3478</v>
      </c>
      <c r="C9" s="590" t="s">
        <v>3553</v>
      </c>
      <c r="D9" s="590" t="s">
        <v>3553</v>
      </c>
      <c r="E9" s="590" t="s">
        <v>3553</v>
      </c>
      <c r="F9" s="590" t="s">
        <v>3553</v>
      </c>
      <c r="G9" s="590" t="s">
        <v>3553</v>
      </c>
      <c r="H9" s="590" t="s">
        <v>3553</v>
      </c>
      <c r="I9" s="590" t="s">
        <v>3553</v>
      </c>
      <c r="J9" s="590" t="s">
        <v>3553</v>
      </c>
      <c r="K9" s="590" t="s">
        <v>3553</v>
      </c>
    </row>
    <row r="10" spans="1:11">
      <c r="A10" s="591">
        <v>7</v>
      </c>
      <c r="B10" s="586" t="s">
        <v>3481</v>
      </c>
      <c r="C10" s="587" t="s">
        <v>3553</v>
      </c>
      <c r="D10" s="587" t="s">
        <v>3553</v>
      </c>
      <c r="E10" s="587" t="s">
        <v>3553</v>
      </c>
      <c r="F10" s="587" t="s">
        <v>3553</v>
      </c>
      <c r="G10" s="587" t="s">
        <v>3553</v>
      </c>
      <c r="H10" s="587" t="s">
        <v>3553</v>
      </c>
      <c r="I10" s="587" t="s">
        <v>3553</v>
      </c>
      <c r="J10" s="587" t="s">
        <v>3553</v>
      </c>
      <c r="K10" s="587" t="s">
        <v>3553</v>
      </c>
    </row>
    <row r="11" spans="1:11">
      <c r="A11" s="588">
        <v>8</v>
      </c>
      <c r="B11" s="589" t="s">
        <v>3484</v>
      </c>
      <c r="C11" s="590" t="s">
        <v>3553</v>
      </c>
      <c r="D11" s="590" t="s">
        <v>3553</v>
      </c>
      <c r="E11" s="590" t="s">
        <v>3553</v>
      </c>
      <c r="F11" s="590" t="s">
        <v>3553</v>
      </c>
      <c r="G11" s="590" t="s">
        <v>3553</v>
      </c>
      <c r="H11" s="590" t="s">
        <v>3553</v>
      </c>
      <c r="I11" s="590" t="s">
        <v>3553</v>
      </c>
      <c r="J11" s="590" t="s">
        <v>3553</v>
      </c>
      <c r="K11" s="590" t="s">
        <v>3553</v>
      </c>
    </row>
    <row r="12" spans="1:11">
      <c r="A12" s="591">
        <v>9</v>
      </c>
      <c r="B12" s="586" t="s">
        <v>3487</v>
      </c>
      <c r="C12" s="587" t="s">
        <v>3553</v>
      </c>
      <c r="D12" s="587" t="s">
        <v>3553</v>
      </c>
      <c r="E12" s="587" t="s">
        <v>3553</v>
      </c>
      <c r="F12" s="587" t="s">
        <v>3553</v>
      </c>
      <c r="G12" s="587" t="s">
        <v>3553</v>
      </c>
      <c r="H12" s="587" t="s">
        <v>3553</v>
      </c>
      <c r="I12" s="587" t="s">
        <v>3553</v>
      </c>
      <c r="J12" s="587" t="s">
        <v>3553</v>
      </c>
      <c r="K12" s="587" t="s">
        <v>3553</v>
      </c>
    </row>
    <row r="13" spans="1:11">
      <c r="A13" s="588">
        <v>10</v>
      </c>
      <c r="B13" s="589" t="s">
        <v>3490</v>
      </c>
      <c r="C13" s="590" t="s">
        <v>3553</v>
      </c>
      <c r="D13" s="590" t="s">
        <v>3553</v>
      </c>
      <c r="E13" s="590" t="s">
        <v>3553</v>
      </c>
      <c r="F13" s="590" t="s">
        <v>3553</v>
      </c>
      <c r="G13" s="590" t="s">
        <v>3553</v>
      </c>
      <c r="H13" s="590" t="s">
        <v>3553</v>
      </c>
      <c r="I13" s="590" t="s">
        <v>3553</v>
      </c>
      <c r="J13" s="590" t="s">
        <v>3553</v>
      </c>
      <c r="K13" s="590" t="s">
        <v>3553</v>
      </c>
    </row>
    <row r="14" spans="1:11">
      <c r="A14" s="592"/>
      <c r="B14" s="593" t="s">
        <v>3554</v>
      </c>
      <c r="C14" s="592"/>
      <c r="D14" s="592"/>
      <c r="E14" s="592"/>
      <c r="F14" s="592"/>
      <c r="G14" s="592"/>
      <c r="H14" s="592"/>
      <c r="I14" s="592"/>
      <c r="J14" s="592"/>
      <c r="K14" s="592"/>
    </row>
    <row r="15" spans="1:11">
      <c r="A15" s="591">
        <v>11</v>
      </c>
      <c r="B15" s="586" t="s">
        <v>3494</v>
      </c>
      <c r="C15" s="587" t="s">
        <v>3553</v>
      </c>
      <c r="D15" s="587" t="s">
        <v>3553</v>
      </c>
      <c r="E15" s="587" t="s">
        <v>3553</v>
      </c>
      <c r="F15" s="594" t="s">
        <v>3553</v>
      </c>
      <c r="G15" s="591"/>
      <c r="H15" s="591"/>
      <c r="I15" s="591"/>
      <c r="J15" s="591"/>
      <c r="K15" s="591"/>
    </row>
    <row r="16" spans="1:11">
      <c r="A16" s="588">
        <v>12</v>
      </c>
      <c r="B16" s="589" t="s">
        <v>3499</v>
      </c>
      <c r="C16" s="590" t="s">
        <v>3553</v>
      </c>
      <c r="D16" s="590" t="s">
        <v>3553</v>
      </c>
      <c r="E16" s="588"/>
      <c r="F16" s="588"/>
      <c r="G16" s="588"/>
      <c r="H16" s="588"/>
      <c r="I16" s="588"/>
      <c r="J16" s="588"/>
      <c r="K16" s="590" t="s">
        <v>3553</v>
      </c>
    </row>
    <row r="17" spans="1:11">
      <c r="A17" s="591">
        <v>13</v>
      </c>
      <c r="B17" s="586" t="s">
        <v>3503</v>
      </c>
      <c r="C17" s="587" t="s">
        <v>3553</v>
      </c>
      <c r="D17" s="587" t="s">
        <v>3553</v>
      </c>
      <c r="E17" s="591"/>
      <c r="F17" s="591"/>
      <c r="G17" s="591"/>
      <c r="H17" s="591"/>
      <c r="I17" s="591"/>
      <c r="J17" s="591"/>
      <c r="K17" s="591"/>
    </row>
    <row r="18" spans="1:11">
      <c r="A18" s="588">
        <v>14</v>
      </c>
      <c r="B18" s="589" t="s">
        <v>3507</v>
      </c>
      <c r="C18" s="590" t="s">
        <v>3553</v>
      </c>
      <c r="D18" s="588"/>
      <c r="E18" s="588"/>
      <c r="F18" s="588"/>
      <c r="G18" s="588"/>
      <c r="H18" s="590" t="s">
        <v>3553</v>
      </c>
      <c r="I18" s="588"/>
      <c r="J18" s="588"/>
      <c r="K18" s="588"/>
    </row>
    <row r="19" spans="1:11">
      <c r="A19" s="591">
        <v>15</v>
      </c>
      <c r="B19" s="586" t="s">
        <v>3511</v>
      </c>
      <c r="C19" s="591"/>
      <c r="D19" s="587" t="s">
        <v>3553</v>
      </c>
      <c r="E19" s="587" t="s">
        <v>3553</v>
      </c>
      <c r="F19" s="594" t="s">
        <v>3553</v>
      </c>
      <c r="G19" s="591"/>
      <c r="H19" s="591"/>
      <c r="I19" s="591"/>
      <c r="J19" s="591"/>
      <c r="K19" s="591"/>
    </row>
    <row r="20" spans="1:11">
      <c r="A20" s="588">
        <v>16</v>
      </c>
      <c r="B20" s="595" t="s">
        <v>3515</v>
      </c>
      <c r="C20" s="588"/>
      <c r="D20" s="588"/>
      <c r="E20" s="588"/>
      <c r="F20" s="596" t="s">
        <v>3553</v>
      </c>
      <c r="G20" s="588"/>
      <c r="H20" s="588"/>
      <c r="I20" s="588"/>
      <c r="J20" s="588"/>
      <c r="K20" s="588"/>
    </row>
    <row r="21" spans="1:11">
      <c r="A21" s="591">
        <v>17</v>
      </c>
      <c r="B21" s="597" t="s">
        <v>3518</v>
      </c>
      <c r="C21" s="591"/>
      <c r="D21" s="587" t="s">
        <v>3553</v>
      </c>
      <c r="E21" s="591"/>
      <c r="F21" s="594" t="s">
        <v>3553</v>
      </c>
      <c r="G21" s="591"/>
      <c r="H21" s="591"/>
      <c r="I21" s="591"/>
      <c r="J21" s="591"/>
      <c r="K21" s="591"/>
    </row>
    <row r="22" spans="1:11">
      <c r="A22" s="588">
        <v>18</v>
      </c>
      <c r="B22" s="595" t="s">
        <v>3522</v>
      </c>
      <c r="C22" s="588"/>
      <c r="D22" s="588"/>
      <c r="E22" s="588"/>
      <c r="F22" s="596" t="s">
        <v>3553</v>
      </c>
      <c r="G22" s="588"/>
      <c r="H22" s="588"/>
      <c r="I22" s="588"/>
      <c r="J22" s="588"/>
      <c r="K22" s="588"/>
    </row>
    <row r="23" spans="1:11">
      <c r="A23" s="591">
        <v>19</v>
      </c>
      <c r="B23" s="586" t="s">
        <v>3525</v>
      </c>
      <c r="C23" s="591"/>
      <c r="D23" s="591"/>
      <c r="E23" s="591"/>
      <c r="F23" s="591"/>
      <c r="G23" s="587" t="s">
        <v>3553</v>
      </c>
      <c r="H23" s="591"/>
      <c r="I23" s="591"/>
      <c r="J23" s="591"/>
      <c r="K23" s="591"/>
    </row>
    <row r="24" spans="1:11">
      <c r="A24" s="588">
        <v>20</v>
      </c>
      <c r="B24" s="589" t="s">
        <v>3528</v>
      </c>
      <c r="C24" s="588"/>
      <c r="D24" s="588"/>
      <c r="E24" s="588"/>
      <c r="F24" s="588"/>
      <c r="G24" s="590" t="s">
        <v>3553</v>
      </c>
      <c r="H24" s="588"/>
      <c r="I24" s="588"/>
      <c r="J24" s="588"/>
      <c r="K24" s="588"/>
    </row>
    <row r="25" spans="1:11">
      <c r="A25" s="591">
        <v>21</v>
      </c>
      <c r="B25" s="586" t="s">
        <v>3531</v>
      </c>
      <c r="C25" s="591"/>
      <c r="D25" s="591"/>
      <c r="E25" s="591"/>
      <c r="F25" s="591"/>
      <c r="G25" s="587" t="s">
        <v>3553</v>
      </c>
      <c r="H25" s="591"/>
      <c r="I25" s="591"/>
      <c r="J25" s="587" t="s">
        <v>3553</v>
      </c>
      <c r="K25" s="591"/>
    </row>
    <row r="26" spans="1:11">
      <c r="A26" s="588">
        <v>22</v>
      </c>
      <c r="B26" s="589" t="s">
        <v>3536</v>
      </c>
      <c r="C26" s="588"/>
      <c r="D26" s="588"/>
      <c r="E26" s="588"/>
      <c r="F26" s="588"/>
      <c r="G26" s="588"/>
      <c r="H26" s="590" t="s">
        <v>3553</v>
      </c>
      <c r="I26" s="588"/>
      <c r="J26" s="588"/>
      <c r="K26" s="588"/>
    </row>
    <row r="27" spans="1:11">
      <c r="A27" s="591">
        <v>23</v>
      </c>
      <c r="B27" s="586" t="s">
        <v>3539</v>
      </c>
      <c r="C27" s="591"/>
      <c r="D27" s="591"/>
      <c r="E27" s="591"/>
      <c r="F27" s="591"/>
      <c r="G27" s="591"/>
      <c r="H27" s="591"/>
      <c r="I27" s="591"/>
      <c r="J27" s="587" t="s">
        <v>3553</v>
      </c>
      <c r="K27" s="591"/>
    </row>
    <row r="28" spans="1:11">
      <c r="A28" s="588">
        <v>24</v>
      </c>
      <c r="B28" s="589" t="s">
        <v>3542</v>
      </c>
      <c r="C28" s="588"/>
      <c r="D28" s="588"/>
      <c r="E28" s="588"/>
      <c r="F28" s="588"/>
      <c r="G28" s="588"/>
      <c r="H28" s="588"/>
      <c r="I28" s="590" t="s">
        <v>3553</v>
      </c>
      <c r="J28" s="588"/>
      <c r="K28" s="590" t="s">
        <v>3553</v>
      </c>
    </row>
    <row r="29" spans="1:11">
      <c r="A29" s="588"/>
      <c r="B29" s="588"/>
      <c r="C29" s="588"/>
      <c r="D29" s="588"/>
      <c r="E29" s="588"/>
      <c r="F29" s="588"/>
      <c r="G29" s="588"/>
      <c r="H29" s="588"/>
      <c r="I29" s="588"/>
      <c r="J29" s="588"/>
      <c r="K29" s="588"/>
    </row>
    <row r="30" spans="1:11" ht="15.6">
      <c r="A30" s="598"/>
      <c r="B30" s="599" t="s">
        <v>3555</v>
      </c>
      <c r="C30" s="600">
        <f t="shared" ref="C30:K30" si="0">COUNTA(C4:C28)</f>
        <v>14</v>
      </c>
      <c r="D30" s="600">
        <f t="shared" si="0"/>
        <v>15</v>
      </c>
      <c r="E30" s="600">
        <f t="shared" si="0"/>
        <v>12</v>
      </c>
      <c r="F30" s="601">
        <f t="shared" si="0"/>
        <v>15</v>
      </c>
      <c r="G30" s="600">
        <f t="shared" si="0"/>
        <v>13</v>
      </c>
      <c r="H30" s="600">
        <f t="shared" si="0"/>
        <v>12</v>
      </c>
      <c r="I30" s="600">
        <f t="shared" si="0"/>
        <v>11</v>
      </c>
      <c r="J30" s="600">
        <f t="shared" si="0"/>
        <v>12</v>
      </c>
      <c r="K30" s="600">
        <f t="shared" si="0"/>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ED35F-A1B8-4A6F-B7A0-DDF4027A6DD3}">
  <dimension ref="A1:E417"/>
  <sheetViews>
    <sheetView workbookViewId="0">
      <pane ySplit="2" topLeftCell="A112" activePane="bottomLeft" state="frozen"/>
      <selection pane="bottomLeft" activeCell="B207" sqref="B207"/>
    </sheetView>
  </sheetViews>
  <sheetFormatPr defaultRowHeight="14.4"/>
  <cols>
    <col min="1" max="1" width="33.33203125" customWidth="1"/>
    <col min="2" max="2" width="51.88671875" customWidth="1"/>
    <col min="3" max="3" width="46.33203125" customWidth="1"/>
    <col min="4" max="4" width="59.21875" customWidth="1"/>
    <col min="5" max="5" width="46.33203125" customWidth="1"/>
  </cols>
  <sheetData>
    <row r="1" spans="1:5" ht="30" customHeight="1">
      <c r="A1" s="700" t="s">
        <v>1870</v>
      </c>
      <c r="B1" s="701"/>
      <c r="C1" s="701"/>
      <c r="D1" s="701"/>
      <c r="E1" s="701"/>
    </row>
    <row r="2" spans="1:5" ht="19.95" customHeight="1">
      <c r="A2" s="702" t="s">
        <v>1871</v>
      </c>
      <c r="B2" s="702"/>
      <c r="C2" s="702"/>
      <c r="D2" s="702"/>
      <c r="E2" s="702"/>
    </row>
    <row r="4" spans="1:5" ht="16.2" thickBot="1">
      <c r="A4" s="370" t="s">
        <v>1872</v>
      </c>
      <c r="B4" s="371"/>
      <c r="C4" s="371"/>
      <c r="D4" s="371"/>
      <c r="E4" s="371"/>
    </row>
    <row r="5" spans="1:5">
      <c r="A5" s="393" t="s">
        <v>1873</v>
      </c>
      <c r="B5" s="390" t="s">
        <v>1874</v>
      </c>
      <c r="C5" s="486" t="s">
        <v>3223</v>
      </c>
      <c r="D5" s="390" t="s">
        <v>1875</v>
      </c>
      <c r="E5" s="485" t="s">
        <v>3209</v>
      </c>
    </row>
    <row r="6" spans="1:5" ht="43.2">
      <c r="A6" s="394" t="s">
        <v>580</v>
      </c>
      <c r="B6" s="389" t="s">
        <v>1876</v>
      </c>
      <c r="C6" s="400"/>
      <c r="D6" s="398" t="s">
        <v>1877</v>
      </c>
      <c r="E6" s="396" t="s">
        <v>1878</v>
      </c>
    </row>
    <row r="7" spans="1:5">
      <c r="A7" s="481" t="s">
        <v>3202</v>
      </c>
      <c r="C7" s="482"/>
      <c r="D7" s="483" t="s">
        <v>3203</v>
      </c>
      <c r="E7" s="484" t="str">
        <f>IF(C6="","",INDEX(DROPDOWNS!$CT$2:$CT$7,MATCH(C6,DROPDOWNS!$BR$2:$BR$7,0)))</f>
        <v/>
      </c>
    </row>
    <row r="8" spans="1:5" ht="43.2">
      <c r="A8" s="394" t="s">
        <v>582</v>
      </c>
      <c r="B8" s="389" t="s">
        <v>1879</v>
      </c>
      <c r="C8" s="400"/>
      <c r="D8" s="398" t="s">
        <v>1880</v>
      </c>
      <c r="E8" s="396" t="s">
        <v>1881</v>
      </c>
    </row>
    <row r="9" spans="1:5">
      <c r="A9" s="481" t="s">
        <v>3202</v>
      </c>
      <c r="C9" s="482"/>
      <c r="D9" s="483" t="s">
        <v>3204</v>
      </c>
      <c r="E9" s="484" t="str">
        <f>IF(C8="","",INDEX(DROPDOWNS!$CU$2:$CU$8,MATCH(C8,DROPDOWNS!$BS$2:$BS$8,0)))</f>
        <v/>
      </c>
    </row>
    <row r="10" spans="1:5" ht="43.2">
      <c r="A10" s="394" t="s">
        <v>584</v>
      </c>
      <c r="B10" s="389" t="s">
        <v>1882</v>
      </c>
      <c r="C10" s="400"/>
      <c r="D10" s="398" t="s">
        <v>1883</v>
      </c>
      <c r="E10" s="396" t="s">
        <v>1884</v>
      </c>
    </row>
    <row r="11" spans="1:5">
      <c r="A11" s="481" t="s">
        <v>3202</v>
      </c>
      <c r="C11" s="482"/>
      <c r="D11" s="483" t="s">
        <v>3205</v>
      </c>
      <c r="E11" s="484" t="str">
        <f>IF(C10="","",INDEX(DROPDOWNS!$CV$2:$CV$7,MATCH(C10,DROPDOWNS!$BT$2:$BT$7,0)))</f>
        <v/>
      </c>
    </row>
    <row r="12" spans="1:5" ht="43.2">
      <c r="A12" s="394" t="s">
        <v>586</v>
      </c>
      <c r="B12" s="389" t="s">
        <v>1885</v>
      </c>
      <c r="C12" s="400"/>
      <c r="D12" s="398" t="s">
        <v>1886</v>
      </c>
      <c r="E12" s="396" t="s">
        <v>1887</v>
      </c>
    </row>
    <row r="13" spans="1:5">
      <c r="A13" s="481" t="s">
        <v>3202</v>
      </c>
      <c r="C13" s="482"/>
      <c r="D13" s="483" t="s">
        <v>3206</v>
      </c>
      <c r="E13" s="484" t="str">
        <f>IF(C12="","",INDEX(DROPDOWNS!$CW$2:$CW$7,MATCH(C12,DROPDOWNS!$BU$2:$BU$7,0)))</f>
        <v/>
      </c>
    </row>
    <row r="14" spans="1:5" ht="43.2">
      <c r="A14" s="394" t="s">
        <v>588</v>
      </c>
      <c r="B14" s="389" t="s">
        <v>1888</v>
      </c>
      <c r="C14" s="400"/>
      <c r="D14" s="398" t="s">
        <v>1889</v>
      </c>
      <c r="E14" s="396" t="s">
        <v>1890</v>
      </c>
    </row>
    <row r="15" spans="1:5">
      <c r="A15" s="481" t="s">
        <v>3202</v>
      </c>
      <c r="C15" s="482"/>
      <c r="D15" s="483" t="s">
        <v>3207</v>
      </c>
      <c r="E15" s="484" t="str">
        <f>IF(C14="","",INDEX(DROPDOWNS!$CX$2:$CX$11,MATCH(C14,DROPDOWNS!$BV$2:$BV$11,0)))</f>
        <v/>
      </c>
    </row>
    <row r="16" spans="1:5" ht="43.8" thickBot="1">
      <c r="A16" s="395" t="s">
        <v>590</v>
      </c>
      <c r="B16" s="392" t="s">
        <v>1891</v>
      </c>
      <c r="C16" s="401"/>
      <c r="D16" s="399" t="s">
        <v>1892</v>
      </c>
      <c r="E16" s="397" t="s">
        <v>1893</v>
      </c>
    </row>
    <row r="17" spans="1:5">
      <c r="A17" s="481" t="s">
        <v>3202</v>
      </c>
      <c r="C17" s="482"/>
      <c r="D17" s="483" t="s">
        <v>3208</v>
      </c>
      <c r="E17" s="484" t="str">
        <f>IF(C16="","",INDEX(DROPDOWNS!$CY$2:$CY$8,MATCH(C16,DROPDOWNS!$BW$2:$BW$8,0)))</f>
        <v/>
      </c>
    </row>
    <row r="18" spans="1:5">
      <c r="A18" s="493" t="s">
        <v>3221</v>
      </c>
      <c r="B18" s="494" t="s">
        <v>3222</v>
      </c>
      <c r="C18" s="473"/>
      <c r="D18" s="473"/>
      <c r="E18" s="473"/>
    </row>
    <row r="19" spans="1:5" ht="28.8">
      <c r="A19" s="487" t="s">
        <v>592</v>
      </c>
      <c r="B19" s="488" t="s">
        <v>3210</v>
      </c>
      <c r="C19" s="492"/>
      <c r="D19" s="489" t="s">
        <v>3211</v>
      </c>
      <c r="E19" s="495" t="str">
        <f>IF(C19="Yes — Include Media","include_media",IF(C19="No — Links Only","links_only",IF(C19="Later / Decide Per Run","defer","")))</f>
        <v/>
      </c>
    </row>
    <row r="20" spans="1:5">
      <c r="A20" s="481" t="s">
        <v>3202</v>
      </c>
      <c r="C20" s="482"/>
      <c r="D20" s="483" t="s">
        <v>3212</v>
      </c>
    </row>
    <row r="21" spans="1:5">
      <c r="A21" s="490" t="s">
        <v>3213</v>
      </c>
      <c r="B21" s="488" t="s">
        <v>3214</v>
      </c>
      <c r="C21" s="492"/>
      <c r="D21" s="491" t="s">
        <v>3215</v>
      </c>
      <c r="E21" s="495" t="str">
        <f>IF(C21="Metadata Only","metadata_only",IF(C21="Metadata + Transcripts","transcript",IF(C21="Metadata + Transcripts + Comments","transcript_comments",IF(C21="Full Research Harvest","research_harvest",IF(C21="Deep Media Harvest","deep_media_harvest","")))))</f>
        <v/>
      </c>
    </row>
    <row r="22" spans="1:5">
      <c r="A22" s="481" t="s">
        <v>3202</v>
      </c>
      <c r="C22" s="482"/>
      <c r="D22" s="483" t="s">
        <v>3216</v>
      </c>
    </row>
    <row r="23" spans="1:5">
      <c r="A23" s="490" t="s">
        <v>3217</v>
      </c>
      <c r="B23" s="488" t="s">
        <v>3218</v>
      </c>
      <c r="C23" s="492"/>
      <c r="D23" s="491" t="s">
        <v>3219</v>
      </c>
      <c r="E23" s="495" t="str">
        <f>IF(C23="Channel Inventory (metadata only)","channel_inventory",IF(C23="Transcript Harvest (up to 500 videos)","transcript_harvest",IF(C23="Research Harvest (up to 200 videos)","research_harvest",IF(C23="Deep Media Harvest (up to 50 videos)","deep_media_harvest",""))))</f>
        <v/>
      </c>
    </row>
    <row r="24" spans="1:5">
      <c r="A24" s="481" t="s">
        <v>3202</v>
      </c>
      <c r="C24" s="482"/>
      <c r="D24" s="483" t="s">
        <v>3220</v>
      </c>
    </row>
    <row r="26" spans="1:5" ht="15.6">
      <c r="A26" s="370" t="s">
        <v>1894</v>
      </c>
      <c r="B26" s="371"/>
      <c r="C26" s="371"/>
      <c r="D26" s="371"/>
      <c r="E26" s="371"/>
    </row>
    <row r="27" spans="1:5">
      <c r="A27" s="377" t="s">
        <v>1895</v>
      </c>
      <c r="B27" s="378" t="s">
        <v>1896</v>
      </c>
      <c r="C27" s="378" t="s">
        <v>1897</v>
      </c>
      <c r="D27" s="378" t="s">
        <v>1898</v>
      </c>
      <c r="E27" s="379" t="s">
        <v>1899</v>
      </c>
    </row>
    <row r="28" spans="1:5">
      <c r="A28" t="s">
        <v>1900</v>
      </c>
      <c r="B28" s="376" t="s">
        <v>1901</v>
      </c>
      <c r="C28" s="376" t="s">
        <v>1902</v>
      </c>
      <c r="D28" s="376" t="s">
        <v>1903</v>
      </c>
      <c r="E28" s="376" t="s">
        <v>1904</v>
      </c>
    </row>
    <row r="29" spans="1:5">
      <c r="A29" t="s">
        <v>1905</v>
      </c>
      <c r="B29" s="376" t="s">
        <v>1906</v>
      </c>
      <c r="C29" s="376" t="s">
        <v>1907</v>
      </c>
      <c r="D29" s="376" t="s">
        <v>1908</v>
      </c>
      <c r="E29" s="376" t="s">
        <v>1909</v>
      </c>
    </row>
    <row r="30" spans="1:5">
      <c r="A30" t="s">
        <v>1910</v>
      </c>
      <c r="B30" s="376" t="s">
        <v>1911</v>
      </c>
      <c r="C30" s="376" t="s">
        <v>1912</v>
      </c>
      <c r="D30" s="376" t="s">
        <v>1913</v>
      </c>
      <c r="E30" s="376" t="s">
        <v>1914</v>
      </c>
    </row>
    <row r="31" spans="1:5">
      <c r="A31" t="s">
        <v>1915</v>
      </c>
      <c r="B31" s="376" t="s">
        <v>1911</v>
      </c>
      <c r="C31" s="376" t="s">
        <v>1916</v>
      </c>
      <c r="D31" s="376" t="s">
        <v>1917</v>
      </c>
      <c r="E31" s="376" t="s">
        <v>1918</v>
      </c>
    </row>
    <row r="32" spans="1:5">
      <c r="A32" t="s">
        <v>1919</v>
      </c>
      <c r="B32" s="376" t="s">
        <v>1920</v>
      </c>
      <c r="C32" s="376" t="s">
        <v>1921</v>
      </c>
      <c r="D32" s="376" t="s">
        <v>1922</v>
      </c>
      <c r="E32" s="376" t="s">
        <v>1923</v>
      </c>
    </row>
    <row r="33" spans="1:5">
      <c r="A33" t="s">
        <v>1924</v>
      </c>
      <c r="B33" s="376" t="s">
        <v>1925</v>
      </c>
      <c r="C33" s="376" t="s">
        <v>1926</v>
      </c>
      <c r="D33" s="376" t="s">
        <v>1927</v>
      </c>
      <c r="E33" s="376" t="s">
        <v>1928</v>
      </c>
    </row>
    <row r="35" spans="1:5">
      <c r="A35" s="378" t="s">
        <v>1929</v>
      </c>
      <c r="B35" s="378" t="s">
        <v>1930</v>
      </c>
      <c r="C35" s="378" t="s">
        <v>1931</v>
      </c>
      <c r="D35" s="378" t="s">
        <v>1932</v>
      </c>
      <c r="E35" s="380"/>
    </row>
    <row r="36" spans="1:5">
      <c r="A36" t="s">
        <v>1933</v>
      </c>
      <c r="B36" s="376" t="s">
        <v>1934</v>
      </c>
      <c r="C36" s="376" t="s">
        <v>1935</v>
      </c>
      <c r="D36" s="376" t="s">
        <v>1936</v>
      </c>
    </row>
    <row r="37" spans="1:5">
      <c r="A37" t="s">
        <v>1937</v>
      </c>
      <c r="B37" s="376" t="s">
        <v>1938</v>
      </c>
      <c r="C37" s="376" t="s">
        <v>1939</v>
      </c>
      <c r="D37" s="376" t="s">
        <v>1940</v>
      </c>
    </row>
    <row r="38" spans="1:5">
      <c r="A38" t="s">
        <v>1941</v>
      </c>
      <c r="B38" s="376" t="s">
        <v>1942</v>
      </c>
      <c r="C38" s="376" t="s">
        <v>1943</v>
      </c>
      <c r="D38" s="376" t="s">
        <v>1944</v>
      </c>
    </row>
    <row r="39" spans="1:5">
      <c r="A39" t="s">
        <v>1945</v>
      </c>
      <c r="B39" s="376" t="s">
        <v>1946</v>
      </c>
      <c r="C39" s="376" t="s">
        <v>1947</v>
      </c>
      <c r="D39" s="376" t="s">
        <v>1948</v>
      </c>
    </row>
    <row r="40" spans="1:5">
      <c r="A40" t="s">
        <v>1949</v>
      </c>
      <c r="B40" s="376" t="s">
        <v>1950</v>
      </c>
      <c r="C40" s="376" t="s">
        <v>1951</v>
      </c>
      <c r="D40" s="376" t="s">
        <v>1952</v>
      </c>
    </row>
    <row r="41" spans="1:5">
      <c r="A41" t="s">
        <v>1953</v>
      </c>
      <c r="B41" s="376" t="s">
        <v>1954</v>
      </c>
      <c r="C41" s="376" t="s">
        <v>1955</v>
      </c>
      <c r="D41" s="376" t="s">
        <v>1956</v>
      </c>
    </row>
    <row r="42" spans="1:5">
      <c r="A42" t="s">
        <v>1957</v>
      </c>
      <c r="B42" s="376" t="s">
        <v>1958</v>
      </c>
      <c r="C42" s="376" t="s">
        <v>1959</v>
      </c>
      <c r="D42" s="376" t="s">
        <v>1960</v>
      </c>
    </row>
    <row r="44" spans="1:5">
      <c r="A44" s="378" t="s">
        <v>1961</v>
      </c>
      <c r="B44" s="378" t="s">
        <v>1962</v>
      </c>
      <c r="C44" s="378" t="s">
        <v>1963</v>
      </c>
      <c r="D44" s="378" t="s">
        <v>1964</v>
      </c>
      <c r="E44" s="380"/>
    </row>
    <row r="45" spans="1:5">
      <c r="A45" t="s">
        <v>1965</v>
      </c>
      <c r="B45" s="376" t="s">
        <v>1966</v>
      </c>
      <c r="C45" s="376" t="s">
        <v>1967</v>
      </c>
      <c r="D45" s="376" t="s">
        <v>1968</v>
      </c>
    </row>
    <row r="46" spans="1:5">
      <c r="A46" t="s">
        <v>1969</v>
      </c>
      <c r="B46" s="376" t="s">
        <v>1970</v>
      </c>
      <c r="C46" s="376" t="s">
        <v>1971</v>
      </c>
      <c r="D46" s="376" t="s">
        <v>1972</v>
      </c>
    </row>
    <row r="47" spans="1:5">
      <c r="A47" t="s">
        <v>1973</v>
      </c>
      <c r="B47" s="376" t="s">
        <v>1974</v>
      </c>
      <c r="C47" s="376" t="s">
        <v>1975</v>
      </c>
      <c r="D47" s="376" t="s">
        <v>1976</v>
      </c>
    </row>
    <row r="48" spans="1:5">
      <c r="A48" t="s">
        <v>1977</v>
      </c>
      <c r="B48" s="376" t="s">
        <v>1978</v>
      </c>
      <c r="C48" s="376" t="s">
        <v>1979</v>
      </c>
      <c r="D48" s="376" t="s">
        <v>1980</v>
      </c>
    </row>
    <row r="49" spans="1:5">
      <c r="A49" t="s">
        <v>1981</v>
      </c>
      <c r="B49" s="376" t="s">
        <v>1982</v>
      </c>
      <c r="C49" s="376" t="s">
        <v>1983</v>
      </c>
      <c r="D49" s="376" t="s">
        <v>1984</v>
      </c>
    </row>
    <row r="50" spans="1:5">
      <c r="A50" t="s">
        <v>1985</v>
      </c>
      <c r="B50" s="376" t="s">
        <v>1986</v>
      </c>
      <c r="C50" s="376" t="s">
        <v>1987</v>
      </c>
      <c r="D50" s="376" t="s">
        <v>1988</v>
      </c>
    </row>
    <row r="52" spans="1:5">
      <c r="A52" s="378" t="s">
        <v>1989</v>
      </c>
      <c r="B52" s="378" t="s">
        <v>1990</v>
      </c>
      <c r="C52" s="378" t="s">
        <v>1991</v>
      </c>
      <c r="D52" s="378" t="s">
        <v>1992</v>
      </c>
      <c r="E52" s="378" t="s">
        <v>1993</v>
      </c>
    </row>
    <row r="53" spans="1:5">
      <c r="A53" t="s">
        <v>1994</v>
      </c>
      <c r="B53" s="376">
        <v>10</v>
      </c>
      <c r="C53" s="376" t="s">
        <v>1995</v>
      </c>
      <c r="D53" s="376" t="s">
        <v>1996</v>
      </c>
      <c r="E53" s="376" t="s">
        <v>1997</v>
      </c>
    </row>
    <row r="54" spans="1:5">
      <c r="A54" t="s">
        <v>1998</v>
      </c>
      <c r="B54" s="376">
        <v>25</v>
      </c>
      <c r="C54" s="376">
        <v>0</v>
      </c>
      <c r="D54" s="376" t="s">
        <v>1999</v>
      </c>
      <c r="E54" s="376" t="s">
        <v>2000</v>
      </c>
    </row>
    <row r="55" spans="1:5">
      <c r="A55" t="s">
        <v>2001</v>
      </c>
      <c r="B55" s="376">
        <v>50</v>
      </c>
      <c r="C55" s="376" t="s">
        <v>888</v>
      </c>
      <c r="D55" s="376" t="s">
        <v>2002</v>
      </c>
      <c r="E55" s="376" t="s">
        <v>2003</v>
      </c>
    </row>
    <row r="56" spans="1:5">
      <c r="A56" t="s">
        <v>2004</v>
      </c>
      <c r="B56" s="376" t="s">
        <v>2005</v>
      </c>
      <c r="C56" s="376">
        <v>1</v>
      </c>
      <c r="D56" s="376" t="s">
        <v>2006</v>
      </c>
      <c r="E56" s="376" t="s">
        <v>2007</v>
      </c>
    </row>
    <row r="57" spans="1:5">
      <c r="A57" t="s">
        <v>2008</v>
      </c>
      <c r="B57" s="376" t="s">
        <v>2009</v>
      </c>
      <c r="C57" s="376">
        <v>2</v>
      </c>
      <c r="D57" s="376" t="s">
        <v>2010</v>
      </c>
      <c r="E57" s="376" t="s">
        <v>2011</v>
      </c>
    </row>
    <row r="58" spans="1:5">
      <c r="A58" t="s">
        <v>2012</v>
      </c>
      <c r="B58" s="376" t="s">
        <v>2013</v>
      </c>
      <c r="C58" s="376" t="s">
        <v>2014</v>
      </c>
      <c r="D58" s="376" t="s">
        <v>2015</v>
      </c>
      <c r="E58" s="376" t="s">
        <v>2016</v>
      </c>
    </row>
    <row r="60" spans="1:5">
      <c r="A60" s="378" t="s">
        <v>2017</v>
      </c>
      <c r="B60" s="378" t="s">
        <v>2018</v>
      </c>
      <c r="C60" s="378" t="s">
        <v>259</v>
      </c>
      <c r="D60" s="378" t="s">
        <v>2019</v>
      </c>
      <c r="E60" s="380"/>
    </row>
    <row r="61" spans="1:5">
      <c r="A61" t="s">
        <v>2020</v>
      </c>
      <c r="B61" s="376" t="s">
        <v>2021</v>
      </c>
      <c r="C61" s="376" t="s">
        <v>2022</v>
      </c>
      <c r="D61" s="376" t="s">
        <v>2023</v>
      </c>
    </row>
    <row r="62" spans="1:5">
      <c r="A62" t="s">
        <v>2024</v>
      </c>
      <c r="B62" s="376" t="s">
        <v>2025</v>
      </c>
      <c r="C62" s="376" t="s">
        <v>2026</v>
      </c>
      <c r="D62" s="376" t="s">
        <v>2027</v>
      </c>
    </row>
    <row r="63" spans="1:5">
      <c r="A63" t="s">
        <v>2028</v>
      </c>
      <c r="B63" s="376" t="s">
        <v>2029</v>
      </c>
      <c r="C63" s="376" t="s">
        <v>2030</v>
      </c>
      <c r="D63" s="376" t="s">
        <v>2031</v>
      </c>
    </row>
    <row r="64" spans="1:5">
      <c r="A64" t="s">
        <v>2032</v>
      </c>
      <c r="B64" s="376" t="s">
        <v>2033</v>
      </c>
      <c r="C64" s="376" t="s">
        <v>2034</v>
      </c>
      <c r="D64" s="376" t="s">
        <v>2035</v>
      </c>
    </row>
    <row r="65" spans="1:5">
      <c r="A65" t="s">
        <v>2036</v>
      </c>
      <c r="B65" s="376" t="s">
        <v>2037</v>
      </c>
      <c r="C65" s="376" t="s">
        <v>2038</v>
      </c>
      <c r="D65" s="376" t="s">
        <v>2039</v>
      </c>
    </row>
    <row r="66" spans="1:5">
      <c r="A66" t="s">
        <v>2040</v>
      </c>
      <c r="B66" s="376" t="s">
        <v>2041</v>
      </c>
      <c r="C66" s="376" t="s">
        <v>2042</v>
      </c>
      <c r="D66" s="376" t="s">
        <v>2043</v>
      </c>
    </row>
    <row r="67" spans="1:5">
      <c r="A67" t="s">
        <v>2044</v>
      </c>
      <c r="B67" s="376" t="s">
        <v>2045</v>
      </c>
      <c r="C67" s="376" t="s">
        <v>2046</v>
      </c>
      <c r="D67" s="376" t="s">
        <v>2047</v>
      </c>
    </row>
    <row r="68" spans="1:5">
      <c r="A68" t="s">
        <v>2048</v>
      </c>
      <c r="B68" s="376" t="s">
        <v>2049</v>
      </c>
      <c r="C68" s="376" t="s">
        <v>2050</v>
      </c>
      <c r="D68" s="376" t="s">
        <v>2051</v>
      </c>
    </row>
    <row r="69" spans="1:5">
      <c r="A69" s="403" t="s">
        <v>2413</v>
      </c>
      <c r="B69" s="376" t="s">
        <v>2416</v>
      </c>
      <c r="C69" s="376" t="s">
        <v>2417</v>
      </c>
      <c r="D69" s="376" t="s">
        <v>2418</v>
      </c>
    </row>
    <row r="70" spans="1:5" ht="28.8">
      <c r="A70" s="403" t="s">
        <v>2414</v>
      </c>
      <c r="B70" s="376" t="s">
        <v>2419</v>
      </c>
      <c r="C70" s="376" t="s">
        <v>2050</v>
      </c>
      <c r="D70" s="376" t="s">
        <v>2420</v>
      </c>
    </row>
    <row r="71" spans="1:5">
      <c r="B71" s="376"/>
      <c r="C71" s="376"/>
      <c r="D71" s="376"/>
    </row>
    <row r="73" spans="1:5">
      <c r="A73" s="378" t="s">
        <v>2052</v>
      </c>
      <c r="B73" s="378" t="s">
        <v>2053</v>
      </c>
      <c r="C73" s="378" t="s">
        <v>2054</v>
      </c>
      <c r="D73" s="378" t="s">
        <v>2055</v>
      </c>
      <c r="E73" s="380"/>
    </row>
    <row r="74" spans="1:5">
      <c r="A74" t="s">
        <v>2056</v>
      </c>
      <c r="B74" s="376" t="s">
        <v>2057</v>
      </c>
      <c r="C74" s="376" t="s">
        <v>2058</v>
      </c>
      <c r="D74" s="376" t="s">
        <v>2059</v>
      </c>
    </row>
    <row r="75" spans="1:5">
      <c r="A75" t="s">
        <v>2060</v>
      </c>
      <c r="B75" s="376" t="s">
        <v>2061</v>
      </c>
      <c r="C75" s="376" t="s">
        <v>2062</v>
      </c>
      <c r="D75" s="376" t="s">
        <v>2063</v>
      </c>
    </row>
    <row r="76" spans="1:5">
      <c r="A76" t="s">
        <v>2064</v>
      </c>
      <c r="B76" s="376" t="s">
        <v>2065</v>
      </c>
      <c r="C76" s="376" t="s">
        <v>2066</v>
      </c>
      <c r="D76" s="376" t="s">
        <v>2067</v>
      </c>
    </row>
    <row r="77" spans="1:5">
      <c r="A77" t="s">
        <v>2068</v>
      </c>
      <c r="B77" s="376" t="s">
        <v>2069</v>
      </c>
      <c r="C77" s="376" t="s">
        <v>2070</v>
      </c>
      <c r="D77" s="376" t="s">
        <v>2071</v>
      </c>
    </row>
    <row r="78" spans="1:5">
      <c r="A78" t="s">
        <v>2072</v>
      </c>
      <c r="B78" s="376" t="s">
        <v>2073</v>
      </c>
      <c r="C78" s="376" t="s">
        <v>2074</v>
      </c>
      <c r="D78" s="376" t="s">
        <v>2075</v>
      </c>
    </row>
    <row r="79" spans="1:5">
      <c r="A79" t="s">
        <v>2076</v>
      </c>
      <c r="B79" s="376" t="s">
        <v>2077</v>
      </c>
      <c r="C79" s="376" t="s">
        <v>2078</v>
      </c>
      <c r="D79" s="376" t="s">
        <v>2079</v>
      </c>
    </row>
    <row r="80" spans="1:5">
      <c r="A80" s="403" t="s">
        <v>2415</v>
      </c>
      <c r="B80" s="376" t="s">
        <v>2421</v>
      </c>
      <c r="C80" s="376" t="s">
        <v>2422</v>
      </c>
      <c r="D80" s="376" t="s">
        <v>2423</v>
      </c>
    </row>
    <row r="82" spans="1:5" ht="15.6">
      <c r="A82" s="370" t="s">
        <v>2080</v>
      </c>
      <c r="B82" s="371"/>
      <c r="C82" s="371"/>
      <c r="D82" s="371"/>
      <c r="E82" s="371"/>
    </row>
    <row r="83" spans="1:5">
      <c r="A83" s="381" t="s">
        <v>2081</v>
      </c>
      <c r="B83" s="382"/>
      <c r="C83" s="382"/>
      <c r="D83" s="382"/>
      <c r="E83" s="382"/>
    </row>
    <row r="84" spans="1:5">
      <c r="A84" s="373" t="s">
        <v>2082</v>
      </c>
      <c r="B84" s="373" t="s">
        <v>2083</v>
      </c>
      <c r="C84" s="373" t="s">
        <v>2084</v>
      </c>
      <c r="D84" s="373" t="s">
        <v>2085</v>
      </c>
      <c r="E84" s="373" t="s">
        <v>2086</v>
      </c>
    </row>
    <row r="85" spans="1:5" ht="28.8">
      <c r="A85" s="372" t="s">
        <v>2087</v>
      </c>
      <c r="B85" s="376" t="s">
        <v>2088</v>
      </c>
      <c r="C85" s="376" t="s">
        <v>2089</v>
      </c>
      <c r="D85" s="376" t="s">
        <v>1370</v>
      </c>
      <c r="E85" s="376" t="s">
        <v>580</v>
      </c>
    </row>
    <row r="86" spans="1:5" ht="28.8">
      <c r="A86" s="372" t="s">
        <v>2090</v>
      </c>
      <c r="B86" s="376" t="s">
        <v>2091</v>
      </c>
      <c r="C86" s="376" t="s">
        <v>2092</v>
      </c>
      <c r="D86" s="376" t="s">
        <v>2093</v>
      </c>
      <c r="E86" s="376" t="s">
        <v>2094</v>
      </c>
    </row>
    <row r="88" spans="1:5">
      <c r="A88" s="381" t="s">
        <v>2095</v>
      </c>
      <c r="B88" s="382"/>
      <c r="C88" s="382"/>
      <c r="D88" s="382"/>
      <c r="E88" s="382"/>
    </row>
    <row r="89" spans="1:5" ht="86.4">
      <c r="A89" s="372" t="s">
        <v>2096</v>
      </c>
      <c r="B89" s="376" t="s">
        <v>2792</v>
      </c>
      <c r="C89" s="376" t="s">
        <v>2793</v>
      </c>
      <c r="D89" s="376" t="s">
        <v>2097</v>
      </c>
      <c r="E89" s="376" t="s">
        <v>2794</v>
      </c>
    </row>
    <row r="90" spans="1:5" ht="43.2">
      <c r="A90" s="372" t="s">
        <v>2098</v>
      </c>
      <c r="B90" s="376" t="s">
        <v>2099</v>
      </c>
      <c r="C90" s="376" t="s">
        <v>2100</v>
      </c>
      <c r="D90" s="376" t="s">
        <v>2101</v>
      </c>
      <c r="E90" s="376" t="s">
        <v>2102</v>
      </c>
    </row>
    <row r="92" spans="1:5">
      <c r="A92" s="381" t="s">
        <v>2103</v>
      </c>
      <c r="B92" s="382"/>
      <c r="C92" s="382"/>
      <c r="D92" s="382"/>
      <c r="E92" s="382"/>
    </row>
    <row r="93" spans="1:5" ht="43.2">
      <c r="A93" s="372" t="s">
        <v>2104</v>
      </c>
      <c r="B93" s="376" t="s">
        <v>2105</v>
      </c>
      <c r="C93" s="376" t="s">
        <v>2106</v>
      </c>
      <c r="D93" s="376" t="s">
        <v>2107</v>
      </c>
      <c r="E93" s="376" t="s">
        <v>2108</v>
      </c>
    </row>
    <row r="95" spans="1:5">
      <c r="A95" s="381" t="s">
        <v>2109</v>
      </c>
      <c r="B95" s="382"/>
      <c r="C95" s="382"/>
      <c r="D95" s="382"/>
      <c r="E95" s="382"/>
    </row>
    <row r="96" spans="1:5" ht="28.8">
      <c r="A96" s="372" t="s">
        <v>2110</v>
      </c>
      <c r="B96" s="376" t="s">
        <v>2111</v>
      </c>
      <c r="C96" s="376" t="s">
        <v>2112</v>
      </c>
      <c r="D96" s="376" t="s">
        <v>2113</v>
      </c>
      <c r="E96" s="376" t="s">
        <v>2114</v>
      </c>
    </row>
    <row r="97" spans="1:5" ht="43.2">
      <c r="A97" s="372" t="s">
        <v>2115</v>
      </c>
      <c r="B97" s="376" t="s">
        <v>2116</v>
      </c>
      <c r="C97" s="376" t="s">
        <v>2117</v>
      </c>
      <c r="D97" s="376" t="s">
        <v>2093</v>
      </c>
      <c r="E97" s="376" t="s">
        <v>2118</v>
      </c>
    </row>
    <row r="98" spans="1:5" ht="43.2">
      <c r="A98" s="372" t="s">
        <v>2119</v>
      </c>
      <c r="B98" s="376" t="s">
        <v>2120</v>
      </c>
      <c r="C98" s="376" t="s">
        <v>2121</v>
      </c>
      <c r="D98" s="376" t="s">
        <v>2122</v>
      </c>
      <c r="E98" s="376" t="s">
        <v>2118</v>
      </c>
    </row>
    <row r="99" spans="1:5" ht="43.2">
      <c r="A99" s="372" t="s">
        <v>2036</v>
      </c>
      <c r="B99" s="376" t="s">
        <v>2123</v>
      </c>
      <c r="C99" s="376" t="s">
        <v>2124</v>
      </c>
      <c r="D99" s="376" t="s">
        <v>2125</v>
      </c>
      <c r="E99" s="376" t="s">
        <v>2126</v>
      </c>
    </row>
    <row r="100" spans="1:5">
      <c r="A100" s="381" t="s">
        <v>2218</v>
      </c>
      <c r="B100" s="402"/>
      <c r="C100" s="402"/>
      <c r="D100" s="402"/>
      <c r="E100" s="402"/>
    </row>
    <row r="101" spans="1:5" ht="57.6">
      <c r="A101" s="372" t="s">
        <v>2219</v>
      </c>
      <c r="B101" s="376" t="s">
        <v>2220</v>
      </c>
      <c r="C101" s="376" t="s">
        <v>2221</v>
      </c>
      <c r="D101" s="376" t="s">
        <v>2125</v>
      </c>
      <c r="E101" s="376" t="s">
        <v>2222</v>
      </c>
    </row>
    <row r="102" spans="1:5" ht="57.6">
      <c r="A102" s="372" t="s">
        <v>2223</v>
      </c>
      <c r="B102" s="376" t="s">
        <v>2224</v>
      </c>
      <c r="C102" s="376" t="s">
        <v>2121</v>
      </c>
      <c r="D102" s="376" t="s">
        <v>2225</v>
      </c>
      <c r="E102" s="376" t="s">
        <v>2118</v>
      </c>
    </row>
    <row r="103" spans="1:5" ht="43.2">
      <c r="A103" s="372" t="s">
        <v>2226</v>
      </c>
      <c r="B103" s="376" t="s">
        <v>2227</v>
      </c>
      <c r="C103" s="376" t="s">
        <v>2228</v>
      </c>
      <c r="D103" s="376" t="s">
        <v>2093</v>
      </c>
      <c r="E103" s="376" t="s">
        <v>2229</v>
      </c>
    </row>
    <row r="104" spans="1:5" ht="43.2">
      <c r="A104" s="372" t="s">
        <v>2230</v>
      </c>
      <c r="B104" s="376" t="s">
        <v>2231</v>
      </c>
      <c r="C104" s="376" t="s">
        <v>2232</v>
      </c>
      <c r="D104" s="376" t="s">
        <v>2097</v>
      </c>
      <c r="E104" s="376" t="s">
        <v>2233</v>
      </c>
    </row>
    <row r="105" spans="1:5">
      <c r="A105" s="372"/>
      <c r="B105" s="376"/>
      <c r="C105" s="376"/>
      <c r="D105" s="376"/>
      <c r="E105" s="376"/>
    </row>
    <row r="106" spans="1:5">
      <c r="A106" s="372"/>
      <c r="B106" s="376"/>
      <c r="C106" s="376"/>
      <c r="D106" s="376"/>
      <c r="E106" s="376"/>
    </row>
    <row r="107" spans="1:5">
      <c r="A107" s="372"/>
      <c r="B107" s="376"/>
      <c r="C107" s="376"/>
      <c r="D107" s="376"/>
      <c r="E107" s="376"/>
    </row>
    <row r="108" spans="1:5">
      <c r="A108" s="372"/>
      <c r="B108" s="376"/>
      <c r="C108" s="376"/>
      <c r="D108" s="376"/>
      <c r="E108" s="376"/>
    </row>
    <row r="109" spans="1:5">
      <c r="A109" s="372"/>
      <c r="B109" s="376"/>
      <c r="C109" s="376"/>
      <c r="D109" s="376"/>
      <c r="E109" s="376"/>
    </row>
    <row r="110" spans="1:5">
      <c r="A110" s="372"/>
      <c r="B110" s="376"/>
      <c r="C110" s="376"/>
      <c r="D110" s="376"/>
      <c r="E110" s="376"/>
    </row>
    <row r="111" spans="1:5">
      <c r="A111" s="466" t="s">
        <v>2840</v>
      </c>
      <c r="B111" s="467"/>
      <c r="C111" s="467"/>
      <c r="D111" s="467"/>
      <c r="E111" s="467"/>
    </row>
    <row r="112" spans="1:5" ht="43.2">
      <c r="A112" s="372" t="s">
        <v>2841</v>
      </c>
      <c r="B112" t="s">
        <v>2842</v>
      </c>
      <c r="C112" s="376" t="s">
        <v>2843</v>
      </c>
      <c r="D112" s="376" t="s">
        <v>2844</v>
      </c>
      <c r="E112" s="376" t="s">
        <v>2845</v>
      </c>
    </row>
    <row r="113" spans="1:5" ht="43.2">
      <c r="A113" s="372" t="s">
        <v>2846</v>
      </c>
      <c r="B113" t="s">
        <v>2847</v>
      </c>
      <c r="C113" t="s">
        <v>2848</v>
      </c>
      <c r="D113" s="376" t="s">
        <v>2849</v>
      </c>
      <c r="E113" s="376" t="s">
        <v>2850</v>
      </c>
    </row>
    <row r="117" spans="1:5">
      <c r="A117" s="372"/>
      <c r="B117" s="376"/>
      <c r="C117" s="376"/>
      <c r="D117" s="376"/>
      <c r="E117" s="376"/>
    </row>
    <row r="118" spans="1:5">
      <c r="A118" s="372"/>
      <c r="B118" s="376"/>
      <c r="C118" s="376"/>
      <c r="D118" s="376"/>
      <c r="E118" s="376"/>
    </row>
    <row r="119" spans="1:5">
      <c r="A119" s="372"/>
      <c r="B119" s="376"/>
      <c r="C119" s="376"/>
      <c r="D119" s="376"/>
      <c r="E119" s="376"/>
    </row>
    <row r="120" spans="1:5">
      <c r="A120" s="372"/>
      <c r="B120" s="376"/>
      <c r="C120" s="376"/>
      <c r="D120" s="376"/>
      <c r="E120" s="376"/>
    </row>
    <row r="121" spans="1:5">
      <c r="A121" s="372"/>
      <c r="B121" s="376"/>
      <c r="C121" s="376"/>
      <c r="D121" s="376"/>
      <c r="E121" s="376"/>
    </row>
    <row r="122" spans="1:5">
      <c r="A122" s="372"/>
      <c r="B122" s="376"/>
      <c r="C122" s="376"/>
      <c r="D122" s="376"/>
      <c r="E122" s="376"/>
    </row>
    <row r="123" spans="1:5">
      <c r="A123" s="372"/>
      <c r="B123" s="376"/>
      <c r="C123" s="376"/>
      <c r="D123" s="376"/>
      <c r="E123" s="376"/>
    </row>
    <row r="124" spans="1:5">
      <c r="A124" s="372"/>
      <c r="B124" s="376"/>
      <c r="C124" s="376"/>
      <c r="D124" s="376"/>
      <c r="E124" s="376"/>
    </row>
    <row r="125" spans="1:5">
      <c r="A125" s="372"/>
      <c r="B125" s="376"/>
      <c r="C125" s="376"/>
      <c r="D125" s="376"/>
      <c r="E125" s="376"/>
    </row>
    <row r="127" spans="1:5">
      <c r="A127" s="477" t="s">
        <v>3090</v>
      </c>
      <c r="B127" s="473"/>
      <c r="C127" s="473"/>
      <c r="D127" s="473"/>
      <c r="E127" s="473"/>
    </row>
    <row r="128" spans="1:5" ht="43.2">
      <c r="A128" s="372" t="s">
        <v>3042</v>
      </c>
      <c r="B128" t="s">
        <v>3043</v>
      </c>
      <c r="C128" s="376" t="s">
        <v>3044</v>
      </c>
      <c r="D128" s="376" t="s">
        <v>3045</v>
      </c>
      <c r="E128" t="s">
        <v>3046</v>
      </c>
    </row>
    <row r="129" spans="1:5">
      <c r="A129" s="372" t="s">
        <v>3047</v>
      </c>
      <c r="B129" t="s">
        <v>3048</v>
      </c>
      <c r="C129" t="s">
        <v>3049</v>
      </c>
      <c r="D129" t="s">
        <v>3050</v>
      </c>
      <c r="E129" t="s">
        <v>3091</v>
      </c>
    </row>
    <row r="130" spans="1:5" ht="28.8">
      <c r="A130" s="372" t="s">
        <v>3051</v>
      </c>
      <c r="B130" t="s">
        <v>3092</v>
      </c>
      <c r="C130" s="376" t="s">
        <v>3053</v>
      </c>
      <c r="D130" s="376" t="s">
        <v>3093</v>
      </c>
      <c r="E130" t="s">
        <v>3055</v>
      </c>
    </row>
    <row r="132" spans="1:5">
      <c r="A132" s="381" t="s">
        <v>2127</v>
      </c>
      <c r="B132" s="382"/>
      <c r="C132" s="382"/>
      <c r="D132" s="382"/>
      <c r="E132" s="382"/>
    </row>
    <row r="133" spans="1:5" ht="43.2">
      <c r="A133" s="372" t="s">
        <v>2128</v>
      </c>
      <c r="B133" s="376" t="s">
        <v>2129</v>
      </c>
      <c r="C133" s="376" t="s">
        <v>2130</v>
      </c>
      <c r="D133" s="376" t="s">
        <v>2131</v>
      </c>
      <c r="E133" s="376" t="s">
        <v>2132</v>
      </c>
    </row>
    <row r="134" spans="1:5" ht="57.6">
      <c r="A134" s="372" t="s">
        <v>2133</v>
      </c>
      <c r="B134" s="376" t="s">
        <v>2134</v>
      </c>
      <c r="C134" s="376" t="s">
        <v>2135</v>
      </c>
      <c r="D134" s="376" t="s">
        <v>2136</v>
      </c>
      <c r="E134" s="376" t="s">
        <v>2137</v>
      </c>
    </row>
    <row r="136" spans="1:5" ht="15.6">
      <c r="A136" s="370" t="s">
        <v>2138</v>
      </c>
      <c r="B136" s="371"/>
      <c r="C136" s="371"/>
      <c r="D136" s="371"/>
      <c r="E136" s="371"/>
    </row>
    <row r="137" spans="1:5">
      <c r="A137" s="373" t="s">
        <v>2139</v>
      </c>
      <c r="B137" s="373" t="s">
        <v>2140</v>
      </c>
      <c r="C137" s="373" t="s">
        <v>2141</v>
      </c>
      <c r="D137" s="373" t="s">
        <v>2142</v>
      </c>
      <c r="E137" s="373" t="s">
        <v>2143</v>
      </c>
    </row>
    <row r="138" spans="1:5">
      <c r="A138" s="372" t="s">
        <v>2144</v>
      </c>
      <c r="B138" s="376" t="s">
        <v>2145</v>
      </c>
      <c r="C138" s="376" t="s">
        <v>2146</v>
      </c>
      <c r="D138" s="376" t="s">
        <v>378</v>
      </c>
      <c r="E138" s="376" t="s">
        <v>2147</v>
      </c>
    </row>
    <row r="139" spans="1:5">
      <c r="A139" s="372" t="s">
        <v>2148</v>
      </c>
      <c r="B139" s="376" t="s">
        <v>2149</v>
      </c>
      <c r="C139" s="376" t="s">
        <v>2096</v>
      </c>
      <c r="D139" s="376" t="s">
        <v>2150</v>
      </c>
      <c r="E139" s="376" t="s">
        <v>2151</v>
      </c>
    </row>
    <row r="140" spans="1:5">
      <c r="A140" s="372" t="s">
        <v>2152</v>
      </c>
      <c r="B140" s="376" t="s">
        <v>2153</v>
      </c>
      <c r="C140" s="376" t="s">
        <v>2154</v>
      </c>
      <c r="D140" s="376" t="s">
        <v>378</v>
      </c>
      <c r="E140" s="376" t="s">
        <v>2151</v>
      </c>
    </row>
    <row r="141" spans="1:5">
      <c r="A141" s="372" t="s">
        <v>2155</v>
      </c>
      <c r="B141" s="376" t="s">
        <v>2156</v>
      </c>
      <c r="C141" s="376" t="s">
        <v>2104</v>
      </c>
      <c r="D141" s="376" t="s">
        <v>378</v>
      </c>
      <c r="E141" s="376" t="s">
        <v>2157</v>
      </c>
    </row>
    <row r="142" spans="1:5" ht="43.2">
      <c r="A142" s="474" t="s">
        <v>3085</v>
      </c>
      <c r="B142" s="476" t="s">
        <v>3086</v>
      </c>
      <c r="C142" s="476" t="s">
        <v>3087</v>
      </c>
      <c r="D142" s="476" t="s">
        <v>3088</v>
      </c>
      <c r="E142" s="476" t="s">
        <v>3089</v>
      </c>
    </row>
    <row r="143" spans="1:5">
      <c r="A143" s="372" t="s">
        <v>2158</v>
      </c>
      <c r="B143" s="376" t="s">
        <v>2159</v>
      </c>
      <c r="C143" s="376" t="s">
        <v>2160</v>
      </c>
      <c r="D143" s="376" t="s">
        <v>2161</v>
      </c>
      <c r="E143" s="376" t="s">
        <v>2162</v>
      </c>
    </row>
    <row r="144" spans="1:5" ht="57.6">
      <c r="A144" s="468" t="s">
        <v>2907</v>
      </c>
      <c r="B144" s="471" t="s">
        <v>2908</v>
      </c>
      <c r="C144" s="471" t="s">
        <v>2841</v>
      </c>
      <c r="D144" s="471" t="s">
        <v>2909</v>
      </c>
      <c r="E144" s="471" t="s">
        <v>2162</v>
      </c>
    </row>
    <row r="145" spans="1:5" ht="43.2">
      <c r="A145" s="372" t="s">
        <v>2163</v>
      </c>
      <c r="B145" s="376" t="s">
        <v>2910</v>
      </c>
      <c r="C145" s="376" t="s">
        <v>2911</v>
      </c>
      <c r="D145" s="376" t="s">
        <v>2912</v>
      </c>
      <c r="E145" s="376" t="s">
        <v>2913</v>
      </c>
    </row>
    <row r="146" spans="1:5" ht="28.8">
      <c r="A146" s="372" t="s">
        <v>2164</v>
      </c>
      <c r="B146" s="376" t="s">
        <v>2165</v>
      </c>
      <c r="C146" s="376" t="s">
        <v>2234</v>
      </c>
      <c r="D146" s="376" t="s">
        <v>2166</v>
      </c>
      <c r="E146" s="376" t="s">
        <v>2167</v>
      </c>
    </row>
    <row r="147" spans="1:5" ht="43.2">
      <c r="A147" s="403" t="s">
        <v>2235</v>
      </c>
      <c r="B147" s="404" t="s">
        <v>2236</v>
      </c>
      <c r="C147" s="404" t="s">
        <v>2237</v>
      </c>
      <c r="D147" s="404" t="s">
        <v>2238</v>
      </c>
      <c r="E147" s="404" t="s">
        <v>2239</v>
      </c>
    </row>
    <row r="148" spans="1:5" ht="28.8">
      <c r="A148" s="403" t="s">
        <v>2240</v>
      </c>
      <c r="B148" s="404" t="s">
        <v>2241</v>
      </c>
      <c r="C148" s="404" t="s">
        <v>2226</v>
      </c>
      <c r="D148" s="404" t="s">
        <v>2242</v>
      </c>
      <c r="E148" s="404" t="s">
        <v>2243</v>
      </c>
    </row>
    <row r="149" spans="1:5" ht="28.8">
      <c r="A149" s="372" t="s">
        <v>2168</v>
      </c>
      <c r="B149" s="376" t="s">
        <v>2244</v>
      </c>
      <c r="C149" s="376" t="s">
        <v>2245</v>
      </c>
      <c r="D149" s="376" t="s">
        <v>2169</v>
      </c>
      <c r="E149" s="376" t="s">
        <v>2170</v>
      </c>
    </row>
    <row r="150" spans="1:5" ht="28.8">
      <c r="A150" s="372" t="s">
        <v>2171</v>
      </c>
      <c r="B150" s="376" t="s">
        <v>2246</v>
      </c>
      <c r="C150" s="376" t="s">
        <v>2247</v>
      </c>
      <c r="D150" s="376" t="s">
        <v>2172</v>
      </c>
      <c r="E150" s="376" t="s">
        <v>2147</v>
      </c>
    </row>
    <row r="151" spans="1:5" ht="15.6">
      <c r="A151" s="370" t="s">
        <v>2173</v>
      </c>
      <c r="B151" s="371"/>
      <c r="C151" s="371"/>
      <c r="D151" s="371"/>
      <c r="E151" s="371"/>
    </row>
    <row r="152" spans="1:5">
      <c r="A152" s="373" t="s">
        <v>1874</v>
      </c>
      <c r="B152" s="373" t="s">
        <v>2174</v>
      </c>
      <c r="C152" s="373" t="s">
        <v>2175</v>
      </c>
      <c r="D152" s="383"/>
      <c r="E152" s="383"/>
    </row>
    <row r="153" spans="1:5" ht="28.8">
      <c r="A153" t="s">
        <v>2176</v>
      </c>
      <c r="B153" s="387" t="s">
        <v>1900</v>
      </c>
      <c r="C153" s="376" t="s">
        <v>2177</v>
      </c>
    </row>
    <row r="154" spans="1:5" ht="28.8">
      <c r="A154" t="s">
        <v>2178</v>
      </c>
      <c r="B154" s="387" t="s">
        <v>1957</v>
      </c>
      <c r="C154" s="376" t="s">
        <v>2179</v>
      </c>
    </row>
    <row r="155" spans="1:5" ht="28.8">
      <c r="A155" t="s">
        <v>2180</v>
      </c>
      <c r="B155" s="387" t="s">
        <v>1969</v>
      </c>
      <c r="C155" s="376" t="s">
        <v>2181</v>
      </c>
    </row>
    <row r="156" spans="1:5">
      <c r="A156" t="s">
        <v>2182</v>
      </c>
      <c r="B156" s="387" t="s">
        <v>1998</v>
      </c>
      <c r="C156" s="376" t="s">
        <v>2183</v>
      </c>
    </row>
    <row r="157" spans="1:5" ht="28.8">
      <c r="A157" t="s">
        <v>2184</v>
      </c>
      <c r="B157" s="387" t="s">
        <v>2040</v>
      </c>
      <c r="C157" s="376" t="s">
        <v>2185</v>
      </c>
    </row>
    <row r="158" spans="1:5" ht="28.8">
      <c r="A158" t="s">
        <v>2186</v>
      </c>
      <c r="B158" s="387" t="s">
        <v>2068</v>
      </c>
      <c r="C158" s="376" t="s">
        <v>2187</v>
      </c>
    </row>
    <row r="160" spans="1:5">
      <c r="A160" s="372" t="s">
        <v>2188</v>
      </c>
    </row>
    <row r="161" spans="1:5" ht="100.8" customHeight="1">
      <c r="A161" s="703" t="s">
        <v>2189</v>
      </c>
      <c r="B161" s="703"/>
      <c r="C161" s="703"/>
      <c r="D161" s="703"/>
      <c r="E161" s="703"/>
    </row>
    <row r="163" spans="1:5" ht="15.6">
      <c r="A163" s="370" t="s">
        <v>2190</v>
      </c>
      <c r="B163" s="371"/>
      <c r="C163" s="371"/>
      <c r="D163" s="371"/>
      <c r="E163" s="371"/>
    </row>
    <row r="164" spans="1:5">
      <c r="A164" s="384" t="s">
        <v>2191</v>
      </c>
    </row>
    <row r="165" spans="1:5">
      <c r="A165" s="373" t="s">
        <v>2192</v>
      </c>
      <c r="B165" s="373" t="s">
        <v>2193</v>
      </c>
      <c r="C165" s="373" t="s">
        <v>2194</v>
      </c>
      <c r="D165" s="373" t="s">
        <v>2195</v>
      </c>
      <c r="E165" s="383"/>
    </row>
    <row r="166" spans="1:5">
      <c r="A166" t="s">
        <v>2196</v>
      </c>
      <c r="B166" s="376" t="s">
        <v>2197</v>
      </c>
      <c r="C166" s="376" t="s">
        <v>2198</v>
      </c>
      <c r="D166" s="376" t="s">
        <v>2199</v>
      </c>
    </row>
    <row r="167" spans="1:5">
      <c r="A167" t="s">
        <v>2200</v>
      </c>
      <c r="B167" s="376" t="s">
        <v>2201</v>
      </c>
      <c r="C167" s="376" t="s">
        <v>2202</v>
      </c>
      <c r="D167" s="376" t="s">
        <v>2203</v>
      </c>
    </row>
    <row r="168" spans="1:5">
      <c r="A168" t="s">
        <v>2204</v>
      </c>
      <c r="B168" s="376" t="s">
        <v>2205</v>
      </c>
      <c r="C168" s="376" t="s">
        <v>2206</v>
      </c>
      <c r="D168" s="376" t="s">
        <v>2207</v>
      </c>
    </row>
    <row r="169" spans="1:5">
      <c r="A169" t="s">
        <v>2208</v>
      </c>
      <c r="B169" s="376" t="s">
        <v>2209</v>
      </c>
      <c r="C169" s="376" t="s">
        <v>2210</v>
      </c>
      <c r="D169" s="376" t="s">
        <v>2211</v>
      </c>
    </row>
    <row r="170" spans="1:5">
      <c r="A170" t="s">
        <v>2212</v>
      </c>
      <c r="B170" s="376" t="s">
        <v>2213</v>
      </c>
      <c r="C170" s="376" t="s">
        <v>2214</v>
      </c>
      <c r="D170" s="376" t="s">
        <v>2215</v>
      </c>
    </row>
    <row r="172" spans="1:5" ht="16.2" thickBot="1">
      <c r="A172" s="405" t="s">
        <v>2248</v>
      </c>
      <c r="B172" s="406"/>
      <c r="C172" s="406"/>
      <c r="D172" s="406"/>
      <c r="E172" s="406"/>
    </row>
    <row r="173" spans="1:5">
      <c r="A173" s="416" t="s">
        <v>2249</v>
      </c>
      <c r="B173" s="415"/>
      <c r="C173" s="415"/>
      <c r="D173" s="415"/>
      <c r="E173" s="423"/>
    </row>
    <row r="174" spans="1:5">
      <c r="A174" s="417" t="s">
        <v>2250</v>
      </c>
      <c r="B174" s="388"/>
      <c r="C174" s="388"/>
      <c r="D174" s="388"/>
      <c r="E174" s="396"/>
    </row>
    <row r="175" spans="1:5">
      <c r="A175" s="418"/>
      <c r="B175" s="388"/>
      <c r="C175" s="388"/>
      <c r="D175" s="388"/>
      <c r="E175" s="396"/>
    </row>
    <row r="176" spans="1:5">
      <c r="A176" s="419" t="s">
        <v>2590</v>
      </c>
      <c r="B176" s="413"/>
      <c r="C176" s="413"/>
      <c r="D176" s="413"/>
      <c r="E176" s="424"/>
    </row>
    <row r="177" spans="1:5">
      <c r="A177" s="420" t="s">
        <v>2251</v>
      </c>
      <c r="B177" s="414" t="s">
        <v>2252</v>
      </c>
      <c r="C177" s="414" t="s">
        <v>2253</v>
      </c>
      <c r="D177" s="414" t="s">
        <v>2254</v>
      </c>
      <c r="E177" s="425" t="s">
        <v>2255</v>
      </c>
    </row>
    <row r="178" spans="1:5">
      <c r="A178" s="421" t="s">
        <v>2256</v>
      </c>
      <c r="B178" s="388" t="s">
        <v>2257</v>
      </c>
      <c r="C178" s="388" t="s">
        <v>2258</v>
      </c>
      <c r="D178" s="388" t="s">
        <v>2259</v>
      </c>
      <c r="E178" s="396" t="s">
        <v>2115</v>
      </c>
    </row>
    <row r="179" spans="1:5">
      <c r="A179" s="421" t="s">
        <v>2260</v>
      </c>
      <c r="B179" s="388" t="s">
        <v>2261</v>
      </c>
      <c r="C179" s="388" t="s">
        <v>2262</v>
      </c>
      <c r="D179" s="388" t="s">
        <v>2263</v>
      </c>
      <c r="E179" s="396" t="s">
        <v>2115</v>
      </c>
    </row>
    <row r="180" spans="1:5">
      <c r="A180" s="421" t="s">
        <v>2264</v>
      </c>
      <c r="B180" s="388" t="s">
        <v>2265</v>
      </c>
      <c r="C180" s="388" t="s">
        <v>2266</v>
      </c>
      <c r="D180" s="388" t="s">
        <v>2267</v>
      </c>
      <c r="E180" s="396" t="s">
        <v>2115</v>
      </c>
    </row>
    <row r="181" spans="1:5" ht="28.8">
      <c r="A181" s="421" t="s">
        <v>2268</v>
      </c>
      <c r="B181" s="388" t="s">
        <v>2269</v>
      </c>
      <c r="C181" s="388" t="s">
        <v>2270</v>
      </c>
      <c r="D181" s="388" t="s">
        <v>2271</v>
      </c>
      <c r="E181" s="396" t="s">
        <v>2036</v>
      </c>
    </row>
    <row r="182" spans="1:5" ht="15" thickBot="1">
      <c r="A182" s="422" t="s">
        <v>2272</v>
      </c>
      <c r="B182" s="391" t="s">
        <v>2273</v>
      </c>
      <c r="C182" s="391" t="s">
        <v>2274</v>
      </c>
      <c r="D182" s="391" t="s">
        <v>2275</v>
      </c>
      <c r="E182" s="397" t="s">
        <v>2276</v>
      </c>
    </row>
    <row r="183" spans="1:5" ht="15" thickBot="1">
      <c r="A183" s="372" t="s">
        <v>2277</v>
      </c>
      <c r="B183" t="s">
        <v>2278</v>
      </c>
      <c r="C183" t="s">
        <v>2279</v>
      </c>
      <c r="D183" t="s">
        <v>2280</v>
      </c>
      <c r="E183" t="s">
        <v>2281</v>
      </c>
    </row>
    <row r="184" spans="1:5">
      <c r="A184" s="426" t="s">
        <v>2282</v>
      </c>
      <c r="B184" s="415" t="s">
        <v>2283</v>
      </c>
      <c r="C184" s="415" t="s">
        <v>2284</v>
      </c>
      <c r="D184" s="415" t="s">
        <v>2285</v>
      </c>
      <c r="E184" s="423" t="s">
        <v>2110</v>
      </c>
    </row>
    <row r="185" spans="1:5">
      <c r="A185" s="421" t="s">
        <v>1754</v>
      </c>
      <c r="B185" s="388" t="s">
        <v>2286</v>
      </c>
      <c r="C185" s="388" t="s">
        <v>2287</v>
      </c>
      <c r="D185" s="388" t="s">
        <v>2288</v>
      </c>
      <c r="E185" s="396" t="s">
        <v>2289</v>
      </c>
    </row>
    <row r="186" spans="1:5">
      <c r="A186" s="452" t="s">
        <v>2543</v>
      </c>
    </row>
    <row r="187" spans="1:5">
      <c r="A187" s="403" t="s">
        <v>2544</v>
      </c>
      <c r="B187" t="s">
        <v>2545</v>
      </c>
      <c r="C187" t="s">
        <v>2546</v>
      </c>
      <c r="D187" t="s">
        <v>2547</v>
      </c>
      <c r="E187" t="s">
        <v>2087</v>
      </c>
    </row>
    <row r="188" spans="1:5">
      <c r="A188" s="403" t="s">
        <v>2548</v>
      </c>
      <c r="B188" t="s">
        <v>2549</v>
      </c>
      <c r="C188" t="s">
        <v>2550</v>
      </c>
      <c r="D188" t="s">
        <v>3226</v>
      </c>
      <c r="E188" t="s">
        <v>2551</v>
      </c>
    </row>
    <row r="189" spans="1:5">
      <c r="A189" s="403" t="s">
        <v>2552</v>
      </c>
      <c r="B189" t="s">
        <v>2553</v>
      </c>
      <c r="C189" t="s">
        <v>2554</v>
      </c>
      <c r="D189" t="s">
        <v>2555</v>
      </c>
      <c r="E189" t="s">
        <v>2556</v>
      </c>
    </row>
    <row r="190" spans="1:5">
      <c r="A190" s="403" t="s">
        <v>2557</v>
      </c>
      <c r="B190" t="s">
        <v>2558</v>
      </c>
      <c r="C190" s="453" t="s">
        <v>2559</v>
      </c>
      <c r="D190" t="s">
        <v>2560</v>
      </c>
      <c r="E190" t="s">
        <v>2561</v>
      </c>
    </row>
    <row r="191" spans="1:5">
      <c r="A191" s="403" t="s">
        <v>2562</v>
      </c>
      <c r="B191" t="s">
        <v>2563</v>
      </c>
      <c r="C191" t="s">
        <v>2564</v>
      </c>
      <c r="D191" t="s">
        <v>2565</v>
      </c>
      <c r="E191" t="s">
        <v>2566</v>
      </c>
    </row>
    <row r="192" spans="1:5">
      <c r="A192" s="418"/>
      <c r="B192" s="388"/>
      <c r="C192" s="388"/>
      <c r="D192" s="388"/>
      <c r="E192" s="396"/>
    </row>
    <row r="193" spans="1:5">
      <c r="A193" s="419" t="s">
        <v>2867</v>
      </c>
      <c r="B193" s="413"/>
      <c r="C193" s="413"/>
      <c r="D193" s="413"/>
      <c r="E193" s="424"/>
    </row>
    <row r="194" spans="1:5">
      <c r="A194" s="420" t="s">
        <v>2290</v>
      </c>
      <c r="B194" s="414" t="s">
        <v>2291</v>
      </c>
      <c r="C194" s="414" t="s">
        <v>2253</v>
      </c>
      <c r="D194" s="414" t="s">
        <v>2293</v>
      </c>
      <c r="E194" s="425" t="s">
        <v>2294</v>
      </c>
    </row>
    <row r="195" spans="1:5">
      <c r="A195" s="418" t="s">
        <v>2295</v>
      </c>
      <c r="B195" s="388" t="s">
        <v>2296</v>
      </c>
      <c r="C195" s="388" t="s">
        <v>2297</v>
      </c>
      <c r="D195" s="388" t="s">
        <v>2298</v>
      </c>
      <c r="E195" s="396" t="s">
        <v>2299</v>
      </c>
    </row>
    <row r="196" spans="1:5">
      <c r="A196" s="418" t="s">
        <v>2300</v>
      </c>
      <c r="B196" s="388" t="s">
        <v>2301</v>
      </c>
      <c r="C196" s="388" t="s">
        <v>2302</v>
      </c>
      <c r="D196" s="388" t="s">
        <v>2303</v>
      </c>
      <c r="E196" s="396" t="s">
        <v>2304</v>
      </c>
    </row>
    <row r="197" spans="1:5">
      <c r="A197" s="418" t="s">
        <v>2305</v>
      </c>
      <c r="B197" s="388" t="s">
        <v>2306</v>
      </c>
      <c r="C197" s="388" t="s">
        <v>2307</v>
      </c>
      <c r="D197" s="388" t="s">
        <v>2308</v>
      </c>
      <c r="E197" s="396" t="s">
        <v>2309</v>
      </c>
    </row>
    <row r="198" spans="1:5">
      <c r="A198" s="418" t="s">
        <v>2310</v>
      </c>
      <c r="B198" s="388" t="s">
        <v>2311</v>
      </c>
      <c r="C198" s="388" t="s">
        <v>2312</v>
      </c>
      <c r="D198" s="388" t="s">
        <v>2313</v>
      </c>
      <c r="E198" s="396" t="s">
        <v>1849</v>
      </c>
    </row>
    <row r="199" spans="1:5">
      <c r="A199" s="418" t="s">
        <v>2314</v>
      </c>
      <c r="B199" s="388" t="s">
        <v>2315</v>
      </c>
      <c r="C199" s="388" t="s">
        <v>2316</v>
      </c>
      <c r="D199" s="388" t="s">
        <v>3225</v>
      </c>
      <c r="E199" s="396" t="s">
        <v>2317</v>
      </c>
    </row>
    <row r="200" spans="1:5">
      <c r="A200" s="418" t="s">
        <v>2318</v>
      </c>
      <c r="B200" s="388" t="s">
        <v>2319</v>
      </c>
      <c r="C200" s="388" t="s">
        <v>2320</v>
      </c>
      <c r="D200" s="388" t="s">
        <v>2321</v>
      </c>
      <c r="E200" s="396" t="s">
        <v>2322</v>
      </c>
    </row>
    <row r="201" spans="1:5">
      <c r="A201" s="418" t="s">
        <v>2323</v>
      </c>
      <c r="B201" s="388" t="s">
        <v>2324</v>
      </c>
      <c r="C201" s="388" t="s">
        <v>2325</v>
      </c>
      <c r="D201" s="388" t="s">
        <v>2326</v>
      </c>
      <c r="E201" s="396" t="s">
        <v>2304</v>
      </c>
    </row>
    <row r="202" spans="1:5">
      <c r="A202" s="418" t="s">
        <v>2327</v>
      </c>
      <c r="B202" s="388" t="s">
        <v>2328</v>
      </c>
      <c r="C202" s="388" t="s">
        <v>2329</v>
      </c>
      <c r="D202" s="388" t="s">
        <v>2330</v>
      </c>
      <c r="E202" s="396" t="s">
        <v>587</v>
      </c>
    </row>
    <row r="203" spans="1:5" ht="15" thickBot="1">
      <c r="A203" s="427" t="s">
        <v>2331</v>
      </c>
      <c r="B203" s="391" t="s">
        <v>2332</v>
      </c>
      <c r="C203" s="391" t="s">
        <v>2333</v>
      </c>
      <c r="D203" s="391" t="s">
        <v>2334</v>
      </c>
      <c r="E203" s="397" t="s">
        <v>587</v>
      </c>
    </row>
    <row r="204" spans="1:5">
      <c r="A204" t="s">
        <v>2335</v>
      </c>
      <c r="B204" t="s">
        <v>2336</v>
      </c>
      <c r="C204" t="s">
        <v>2337</v>
      </c>
      <c r="D204" t="s">
        <v>2338</v>
      </c>
      <c r="E204" t="s">
        <v>2339</v>
      </c>
    </row>
    <row r="205" spans="1:5" ht="15" thickBot="1">
      <c r="A205" t="s">
        <v>2340</v>
      </c>
      <c r="B205" t="s">
        <v>2341</v>
      </c>
      <c r="C205" t="s">
        <v>2342</v>
      </c>
      <c r="D205" t="s">
        <v>2343</v>
      </c>
      <c r="E205" t="s">
        <v>2344</v>
      </c>
    </row>
    <row r="206" spans="1:5">
      <c r="A206" s="428" t="s">
        <v>2345</v>
      </c>
      <c r="B206" s="415" t="s">
        <v>2346</v>
      </c>
      <c r="C206" s="415" t="s">
        <v>2347</v>
      </c>
      <c r="D206" s="415" t="s">
        <v>2348</v>
      </c>
      <c r="E206" s="423" t="s">
        <v>2349</v>
      </c>
    </row>
    <row r="207" spans="1:5">
      <c r="A207" s="418" t="s">
        <v>2350</v>
      </c>
      <c r="B207" s="388" t="s">
        <v>2351</v>
      </c>
      <c r="C207" s="388" t="s">
        <v>2352</v>
      </c>
      <c r="D207" s="388" t="s">
        <v>2353</v>
      </c>
      <c r="E207" s="396" t="s">
        <v>2317</v>
      </c>
    </row>
    <row r="208" spans="1:5">
      <c r="A208" s="454" t="s">
        <v>2567</v>
      </c>
    </row>
    <row r="209" spans="1:5">
      <c r="A209" s="403" t="s">
        <v>2568</v>
      </c>
      <c r="B209" t="s">
        <v>2569</v>
      </c>
      <c r="C209" t="s">
        <v>2570</v>
      </c>
      <c r="D209" t="s">
        <v>2571</v>
      </c>
      <c r="E209" t="s">
        <v>2572</v>
      </c>
    </row>
    <row r="210" spans="1:5">
      <c r="A210" s="403" t="s">
        <v>2573</v>
      </c>
      <c r="B210" t="s">
        <v>2574</v>
      </c>
      <c r="C210" t="s">
        <v>2575</v>
      </c>
      <c r="D210" t="s">
        <v>2576</v>
      </c>
      <c r="E210" t="s">
        <v>2339</v>
      </c>
    </row>
    <row r="211" spans="1:5">
      <c r="A211" s="403" t="s">
        <v>2577</v>
      </c>
      <c r="B211" t="s">
        <v>2578</v>
      </c>
      <c r="C211" s="453" t="s">
        <v>2579</v>
      </c>
      <c r="D211" t="s">
        <v>2580</v>
      </c>
      <c r="E211" t="s">
        <v>587</v>
      </c>
    </row>
    <row r="212" spans="1:5">
      <c r="A212" s="403" t="s">
        <v>2581</v>
      </c>
      <c r="B212" t="s">
        <v>2582</v>
      </c>
      <c r="C212" t="s">
        <v>2583</v>
      </c>
      <c r="D212" t="s">
        <v>2584</v>
      </c>
      <c r="E212" t="s">
        <v>2585</v>
      </c>
    </row>
    <row r="213" spans="1:5">
      <c r="A213" s="403" t="s">
        <v>2586</v>
      </c>
      <c r="B213" t="s">
        <v>2587</v>
      </c>
      <c r="C213" t="s">
        <v>2588</v>
      </c>
      <c r="D213" t="s">
        <v>2589</v>
      </c>
      <c r="E213" t="s">
        <v>2304</v>
      </c>
    </row>
    <row r="214" spans="1:5">
      <c r="A214" s="469" t="s">
        <v>3224</v>
      </c>
    </row>
    <row r="215" spans="1:5">
      <c r="A215" s="468" t="s">
        <v>2851</v>
      </c>
      <c r="B215" t="s">
        <v>2852</v>
      </c>
      <c r="C215" t="s">
        <v>2853</v>
      </c>
      <c r="D215" t="s">
        <v>2854</v>
      </c>
      <c r="E215" t="s">
        <v>2572</v>
      </c>
    </row>
    <row r="216" spans="1:5">
      <c r="A216" s="468" t="s">
        <v>2855</v>
      </c>
      <c r="B216" t="s">
        <v>2856</v>
      </c>
      <c r="C216" t="s">
        <v>2857</v>
      </c>
      <c r="D216" t="s">
        <v>2858</v>
      </c>
      <c r="E216" t="s">
        <v>2572</v>
      </c>
    </row>
    <row r="217" spans="1:5">
      <c r="A217" s="468" t="s">
        <v>2859</v>
      </c>
      <c r="B217" t="s">
        <v>2860</v>
      </c>
      <c r="C217" t="s">
        <v>2861</v>
      </c>
      <c r="D217" t="s">
        <v>2862</v>
      </c>
      <c r="E217" t="s">
        <v>2339</v>
      </c>
    </row>
    <row r="218" spans="1:5">
      <c r="A218" s="468" t="s">
        <v>2863</v>
      </c>
      <c r="B218" t="s">
        <v>2864</v>
      </c>
      <c r="C218" t="s">
        <v>2865</v>
      </c>
      <c r="D218" t="s">
        <v>2866</v>
      </c>
      <c r="E218" t="s">
        <v>587</v>
      </c>
    </row>
    <row r="220" spans="1:5">
      <c r="A220" s="418"/>
      <c r="B220" s="388"/>
      <c r="C220" s="388"/>
      <c r="D220" s="388"/>
      <c r="E220" s="396"/>
    </row>
    <row r="221" spans="1:5">
      <c r="A221" s="419" t="s">
        <v>2354</v>
      </c>
      <c r="B221" s="413"/>
      <c r="C221" s="413"/>
      <c r="D221" s="413"/>
      <c r="E221" s="424"/>
    </row>
    <row r="222" spans="1:5">
      <c r="A222" s="420" t="s">
        <v>2355</v>
      </c>
      <c r="B222" s="414" t="s">
        <v>2356</v>
      </c>
      <c r="C222" s="414" t="s">
        <v>2357</v>
      </c>
      <c r="D222" s="414" t="s">
        <v>2358</v>
      </c>
      <c r="E222" s="429"/>
    </row>
    <row r="223" spans="1:5" ht="28.8">
      <c r="A223" s="418" t="s">
        <v>2359</v>
      </c>
      <c r="B223" s="388" t="s">
        <v>2360</v>
      </c>
      <c r="C223" s="388" t="s">
        <v>2361</v>
      </c>
      <c r="D223" s="388" t="s">
        <v>378</v>
      </c>
      <c r="E223" s="396"/>
    </row>
    <row r="224" spans="1:5" ht="28.8">
      <c r="A224" s="418" t="s">
        <v>2362</v>
      </c>
      <c r="B224" s="388" t="s">
        <v>2363</v>
      </c>
      <c r="C224" s="388" t="s">
        <v>2364</v>
      </c>
      <c r="D224" s="388" t="s">
        <v>378</v>
      </c>
      <c r="E224" s="396"/>
    </row>
    <row r="225" spans="1:5">
      <c r="A225" s="418" t="s">
        <v>2365</v>
      </c>
      <c r="B225" s="388" t="s">
        <v>2366</v>
      </c>
      <c r="C225" s="388" t="s">
        <v>2367</v>
      </c>
      <c r="D225" s="388" t="s">
        <v>2368</v>
      </c>
      <c r="E225" s="396"/>
    </row>
    <row r="226" spans="1:5" ht="28.8">
      <c r="A226" s="418" t="s">
        <v>2369</v>
      </c>
      <c r="B226" s="388" t="s">
        <v>2370</v>
      </c>
      <c r="C226" s="388" t="s">
        <v>2371</v>
      </c>
      <c r="D226" s="388" t="s">
        <v>378</v>
      </c>
      <c r="E226" s="396"/>
    </row>
    <row r="227" spans="1:5" ht="28.8">
      <c r="A227" s="418" t="s">
        <v>2372</v>
      </c>
      <c r="B227" s="388" t="s">
        <v>2373</v>
      </c>
      <c r="C227" s="388" t="s">
        <v>2374</v>
      </c>
      <c r="D227" s="388" t="s">
        <v>378</v>
      </c>
      <c r="E227" s="396"/>
    </row>
    <row r="228" spans="1:5" ht="15" thickBot="1">
      <c r="A228" s="427" t="s">
        <v>2375</v>
      </c>
      <c r="B228" s="391" t="s">
        <v>2376</v>
      </c>
      <c r="C228" s="391" t="s">
        <v>2377</v>
      </c>
      <c r="D228" s="391" t="s">
        <v>378</v>
      </c>
      <c r="E228" s="397"/>
    </row>
    <row r="229" spans="1:5">
      <c r="A229" t="s">
        <v>2378</v>
      </c>
      <c r="B229" t="s">
        <v>2379</v>
      </c>
      <c r="C229" t="s">
        <v>2380</v>
      </c>
      <c r="D229" t="s">
        <v>378</v>
      </c>
    </row>
    <row r="230" spans="1:5">
      <c r="A230" t="s">
        <v>2381</v>
      </c>
      <c r="B230" t="s">
        <v>2382</v>
      </c>
      <c r="C230" t="s">
        <v>2383</v>
      </c>
      <c r="D230" t="s">
        <v>2384</v>
      </c>
    </row>
    <row r="231" spans="1:5">
      <c r="A231" t="s">
        <v>2385</v>
      </c>
      <c r="B231" t="s">
        <v>2386</v>
      </c>
      <c r="C231" t="s">
        <v>2387</v>
      </c>
      <c r="D231" t="s">
        <v>2388</v>
      </c>
    </row>
    <row r="232" spans="1:5">
      <c r="A232" t="s">
        <v>2389</v>
      </c>
      <c r="B232" s="376" t="s">
        <v>2390</v>
      </c>
      <c r="C232" s="376" t="s">
        <v>2391</v>
      </c>
      <c r="D232" s="376" t="s">
        <v>378</v>
      </c>
      <c r="E232" s="376"/>
    </row>
    <row r="233" spans="1:5">
      <c r="B233" s="376"/>
      <c r="C233" s="376"/>
      <c r="D233" s="376"/>
      <c r="E233" s="376"/>
    </row>
    <row r="234" spans="1:5">
      <c r="A234" s="409" t="s">
        <v>2392</v>
      </c>
      <c r="B234" s="410"/>
      <c r="C234" s="410"/>
      <c r="D234" s="410"/>
      <c r="E234" s="410"/>
    </row>
    <row r="235" spans="1:5">
      <c r="A235" s="373" t="s">
        <v>2393</v>
      </c>
      <c r="B235" s="411" t="s">
        <v>2394</v>
      </c>
      <c r="C235" s="411" t="s">
        <v>2395</v>
      </c>
      <c r="D235" s="411" t="s">
        <v>2396</v>
      </c>
      <c r="E235" s="412"/>
    </row>
    <row r="236" spans="1:5">
      <c r="A236" t="s">
        <v>2397</v>
      </c>
      <c r="B236" t="s">
        <v>2398</v>
      </c>
      <c r="C236" t="s">
        <v>2399</v>
      </c>
      <c r="D236" t="s">
        <v>2400</v>
      </c>
    </row>
    <row r="237" spans="1:5">
      <c r="A237" t="s">
        <v>2401</v>
      </c>
      <c r="B237" t="s">
        <v>2402</v>
      </c>
      <c r="C237" t="s">
        <v>2403</v>
      </c>
      <c r="D237" t="s">
        <v>2404</v>
      </c>
    </row>
    <row r="238" spans="1:5">
      <c r="A238" t="s">
        <v>2405</v>
      </c>
      <c r="B238" t="s">
        <v>2406</v>
      </c>
      <c r="C238" t="s">
        <v>2407</v>
      </c>
      <c r="D238" t="s">
        <v>2408</v>
      </c>
    </row>
    <row r="239" spans="1:5">
      <c r="A239" t="s">
        <v>2409</v>
      </c>
      <c r="B239" t="s">
        <v>2410</v>
      </c>
      <c r="C239" t="s">
        <v>2411</v>
      </c>
      <c r="D239" t="s">
        <v>2412</v>
      </c>
    </row>
    <row r="240" spans="1:5">
      <c r="A240" s="385" t="s">
        <v>114</v>
      </c>
      <c r="B240" s="382"/>
      <c r="C240" s="382"/>
      <c r="D240" s="382"/>
      <c r="E240" s="382"/>
    </row>
    <row r="241" spans="1:5">
      <c r="A241" t="s">
        <v>1355</v>
      </c>
      <c r="B241" s="376" t="s">
        <v>2424</v>
      </c>
    </row>
    <row r="242" spans="1:5" ht="28.8">
      <c r="A242" t="s">
        <v>1456</v>
      </c>
      <c r="B242" s="376" t="s">
        <v>2425</v>
      </c>
    </row>
    <row r="243" spans="1:5" ht="28.8">
      <c r="A243" t="s">
        <v>2216</v>
      </c>
      <c r="B243" s="376" t="s">
        <v>2426</v>
      </c>
    </row>
    <row r="244" spans="1:5">
      <c r="A244" t="s">
        <v>1252</v>
      </c>
      <c r="B244" s="376" t="s">
        <v>2217</v>
      </c>
    </row>
    <row r="246" spans="1:5" ht="15.6">
      <c r="A246" s="430" t="s">
        <v>2427</v>
      </c>
      <c r="B246" s="431"/>
      <c r="C246" s="431"/>
      <c r="D246" s="431"/>
      <c r="E246" s="431"/>
    </row>
    <row r="247" spans="1:5">
      <c r="A247" s="407" t="s">
        <v>2428</v>
      </c>
    </row>
    <row r="249" spans="1:5">
      <c r="A249" s="433" t="s">
        <v>2429</v>
      </c>
      <c r="B249" s="434"/>
      <c r="C249" s="434"/>
      <c r="D249" s="434"/>
      <c r="E249" s="434"/>
    </row>
    <row r="250" spans="1:5">
      <c r="A250" s="373" t="s">
        <v>2430</v>
      </c>
      <c r="B250" s="373" t="s">
        <v>2431</v>
      </c>
      <c r="C250" s="373" t="s">
        <v>2432</v>
      </c>
      <c r="D250" s="373" t="s">
        <v>2433</v>
      </c>
      <c r="E250" s="373" t="s">
        <v>2434</v>
      </c>
    </row>
    <row r="251" spans="1:5" ht="28.8">
      <c r="A251" s="403" t="s">
        <v>2435</v>
      </c>
      <c r="B251" s="376" t="s">
        <v>2436</v>
      </c>
      <c r="C251" s="376" t="s">
        <v>2437</v>
      </c>
      <c r="D251" s="376" t="s">
        <v>2438</v>
      </c>
      <c r="E251" s="376" t="s">
        <v>2439</v>
      </c>
    </row>
    <row r="252" spans="1:5" ht="28.8">
      <c r="A252" s="432" t="s">
        <v>2440</v>
      </c>
      <c r="B252" s="376" t="s">
        <v>2441</v>
      </c>
      <c r="C252" s="376" t="s">
        <v>2442</v>
      </c>
      <c r="D252" s="376" t="s">
        <v>2443</v>
      </c>
      <c r="E252" s="376" t="s">
        <v>2444</v>
      </c>
    </row>
    <row r="253" spans="1:5">
      <c r="B253" s="376"/>
      <c r="C253" s="376"/>
      <c r="D253" s="376"/>
      <c r="E253" s="376"/>
    </row>
    <row r="254" spans="1:5">
      <c r="A254" s="433" t="s">
        <v>2445</v>
      </c>
      <c r="B254" s="451"/>
      <c r="C254" s="451"/>
      <c r="D254" s="451"/>
      <c r="E254" s="451"/>
    </row>
    <row r="255" spans="1:5">
      <c r="A255" s="373" t="s">
        <v>2446</v>
      </c>
      <c r="B255" s="411" t="s">
        <v>575</v>
      </c>
      <c r="C255" s="411" t="s">
        <v>2447</v>
      </c>
      <c r="D255" s="411" t="s">
        <v>2448</v>
      </c>
      <c r="E255" s="411" t="s">
        <v>2449</v>
      </c>
    </row>
    <row r="256" spans="1:5" ht="43.2">
      <c r="A256" s="436" t="s">
        <v>2450</v>
      </c>
      <c r="B256" s="376" t="s">
        <v>2451</v>
      </c>
      <c r="C256" s="376" t="s">
        <v>2452</v>
      </c>
      <c r="D256" s="376" t="s">
        <v>2453</v>
      </c>
      <c r="E256" s="376" t="s">
        <v>2454</v>
      </c>
    </row>
    <row r="257" spans="1:5" ht="43.2">
      <c r="A257" s="438" t="s">
        <v>2455</v>
      </c>
      <c r="B257" s="376" t="s">
        <v>2456</v>
      </c>
      <c r="C257" s="376" t="s">
        <v>2457</v>
      </c>
      <c r="D257" s="376" t="s">
        <v>2458</v>
      </c>
      <c r="E257" s="376" t="s">
        <v>2459</v>
      </c>
    </row>
    <row r="258" spans="1:5" ht="43.2">
      <c r="A258" s="440" t="s">
        <v>2460</v>
      </c>
      <c r="B258" s="376" t="s">
        <v>2461</v>
      </c>
      <c r="C258" s="376" t="s">
        <v>2462</v>
      </c>
      <c r="D258" s="376" t="s">
        <v>2463</v>
      </c>
      <c r="E258" s="376" t="s">
        <v>2464</v>
      </c>
    </row>
    <row r="259" spans="1:5" ht="43.2">
      <c r="A259" s="442" t="s">
        <v>2465</v>
      </c>
      <c r="B259" s="376" t="s">
        <v>2466</v>
      </c>
      <c r="C259" s="376" t="s">
        <v>2467</v>
      </c>
      <c r="D259" s="376" t="s">
        <v>2468</v>
      </c>
      <c r="E259" s="376" t="s">
        <v>2469</v>
      </c>
    </row>
    <row r="261" spans="1:5">
      <c r="A261" s="433" t="s">
        <v>2470</v>
      </c>
      <c r="B261" s="434"/>
      <c r="C261" s="434"/>
      <c r="D261" s="434"/>
      <c r="E261" s="434"/>
    </row>
    <row r="262" spans="1:5">
      <c r="A262" s="373" t="s">
        <v>2471</v>
      </c>
      <c r="B262" s="373" t="s">
        <v>2472</v>
      </c>
      <c r="C262" s="373" t="s">
        <v>2473</v>
      </c>
      <c r="D262" s="373" t="s">
        <v>2474</v>
      </c>
      <c r="E262" s="373" t="s">
        <v>2475</v>
      </c>
    </row>
    <row r="263" spans="1:5">
      <c r="A263" s="444" t="s">
        <v>2476</v>
      </c>
      <c r="B263" t="s">
        <v>147</v>
      </c>
      <c r="C263" t="s">
        <v>2477</v>
      </c>
      <c r="D263" s="376" t="s">
        <v>2478</v>
      </c>
      <c r="E263" s="376" t="s">
        <v>2479</v>
      </c>
    </row>
    <row r="264" spans="1:5">
      <c r="A264" s="444" t="s">
        <v>2480</v>
      </c>
      <c r="B264" t="s">
        <v>2481</v>
      </c>
      <c r="C264" t="s">
        <v>2482</v>
      </c>
      <c r="D264" s="376" t="s">
        <v>2483</v>
      </c>
      <c r="E264" s="376" t="s">
        <v>2484</v>
      </c>
    </row>
    <row r="265" spans="1:5" ht="28.8">
      <c r="A265" s="436" t="s">
        <v>2485</v>
      </c>
      <c r="B265" t="s">
        <v>2486</v>
      </c>
      <c r="C265" t="s">
        <v>2487</v>
      </c>
      <c r="D265" s="376" t="s">
        <v>2488</v>
      </c>
      <c r="E265" s="376" t="s">
        <v>2489</v>
      </c>
    </row>
    <row r="266" spans="1:5">
      <c r="A266" s="436" t="s">
        <v>2490</v>
      </c>
      <c r="B266" t="s">
        <v>2491</v>
      </c>
      <c r="C266" t="s">
        <v>2492</v>
      </c>
      <c r="D266" s="376" t="s">
        <v>2493</v>
      </c>
      <c r="E266" s="376" t="s">
        <v>2494</v>
      </c>
    </row>
    <row r="267" spans="1:5">
      <c r="A267" s="446" t="s">
        <v>2495</v>
      </c>
      <c r="B267" t="s">
        <v>2496</v>
      </c>
      <c r="C267" t="s">
        <v>2497</v>
      </c>
      <c r="D267" s="376" t="s">
        <v>2498</v>
      </c>
      <c r="E267" s="376" t="s">
        <v>2499</v>
      </c>
    </row>
    <row r="269" spans="1:5" ht="15.6">
      <c r="A269" s="430" t="s">
        <v>2500</v>
      </c>
      <c r="B269" s="431"/>
      <c r="C269" s="431"/>
      <c r="D269" s="431"/>
      <c r="E269" s="431"/>
    </row>
    <row r="270" spans="1:5" ht="28.8">
      <c r="A270" s="376" t="s">
        <v>2501</v>
      </c>
      <c r="B270" s="376" t="s">
        <v>2502</v>
      </c>
      <c r="C270" s="376" t="s">
        <v>2503</v>
      </c>
    </row>
    <row r="272" spans="1:5">
      <c r="A272" s="433" t="s">
        <v>2504</v>
      </c>
      <c r="B272" s="434"/>
      <c r="C272" s="434"/>
      <c r="D272" s="434"/>
      <c r="E272" s="434"/>
    </row>
    <row r="273" spans="1:5">
      <c r="A273" s="373" t="s">
        <v>2505</v>
      </c>
      <c r="B273" s="373" t="s">
        <v>2506</v>
      </c>
      <c r="C273" s="373" t="s">
        <v>2507</v>
      </c>
      <c r="D273" s="373" t="s">
        <v>2508</v>
      </c>
      <c r="E273" s="373" t="s">
        <v>2509</v>
      </c>
    </row>
    <row r="274" spans="1:5" ht="28.8">
      <c r="A274" s="435" t="s">
        <v>2510</v>
      </c>
      <c r="B274" t="s">
        <v>2838</v>
      </c>
      <c r="C274" t="s">
        <v>2452</v>
      </c>
      <c r="D274" s="376" t="s">
        <v>2511</v>
      </c>
      <c r="E274" s="376" t="s">
        <v>2512</v>
      </c>
    </row>
    <row r="275" spans="1:5" ht="28.8">
      <c r="A275" s="437" t="s">
        <v>2513</v>
      </c>
      <c r="B275" t="s">
        <v>2514</v>
      </c>
      <c r="C275" t="s">
        <v>2515</v>
      </c>
      <c r="D275" s="376" t="s">
        <v>2516</v>
      </c>
      <c r="E275" s="376" t="s">
        <v>2517</v>
      </c>
    </row>
    <row r="276" spans="1:5" ht="28.8">
      <c r="A276" s="439" t="s">
        <v>2518</v>
      </c>
      <c r="B276" t="s">
        <v>2839</v>
      </c>
      <c r="C276" t="s">
        <v>2519</v>
      </c>
      <c r="D276" s="376" t="s">
        <v>2520</v>
      </c>
      <c r="E276" s="376" t="s">
        <v>2521</v>
      </c>
    </row>
    <row r="277" spans="1:5" ht="28.8">
      <c r="A277" s="441" t="s">
        <v>2522</v>
      </c>
      <c r="B277" t="s">
        <v>2523</v>
      </c>
      <c r="C277" t="s">
        <v>2524</v>
      </c>
      <c r="D277" s="376" t="s">
        <v>2525</v>
      </c>
      <c r="E277" s="376" t="s">
        <v>2526</v>
      </c>
    </row>
    <row r="279" spans="1:5">
      <c r="A279" s="372" t="s">
        <v>2527</v>
      </c>
      <c r="B279" s="447">
        <f>(0.85+0.9+0.88+0.97+0.95+0.9)/6</f>
        <v>0.90833333333333333</v>
      </c>
      <c r="C279" t="s">
        <v>2528</v>
      </c>
    </row>
    <row r="280" spans="1:5">
      <c r="A280" s="372" t="s">
        <v>2529</v>
      </c>
      <c r="B280" s="374" t="s">
        <v>3145</v>
      </c>
      <c r="C280" t="s">
        <v>2530</v>
      </c>
    </row>
    <row r="281" spans="1:5" ht="18">
      <c r="A281" s="372" t="s">
        <v>2531</v>
      </c>
      <c r="B281" s="448" t="e">
        <f>MIN(B279*B280, 1)</f>
        <v>#VALUE!</v>
      </c>
      <c r="C281" t="s">
        <v>2532</v>
      </c>
      <c r="D281" s="444" t="e">
        <f>IF(B281&gt;=0.95,"0.95+ (near-certain) — ✅ PUBLISH",IF(B281&gt;=0.85,"0.85-0.95 (strong) — ✅ PUBLISH w/ adversarial",IF(B281&gt;=0.75,"BORDERLINE — ⚠️ flag for S06","FAIL S05")))</f>
        <v>#VALUE!</v>
      </c>
    </row>
    <row r="282" spans="1:5">
      <c r="B282" t="s">
        <v>3146</v>
      </c>
    </row>
    <row r="283" spans="1:5">
      <c r="A283" s="449" t="s">
        <v>2533</v>
      </c>
      <c r="B283" s="450" t="s">
        <v>3147</v>
      </c>
      <c r="C283" s="450"/>
      <c r="D283" s="450"/>
      <c r="E283" s="450"/>
    </row>
    <row r="285" spans="1:5">
      <c r="A285" s="385" t="s">
        <v>114</v>
      </c>
      <c r="B285" s="382"/>
      <c r="C285" s="382"/>
      <c r="D285" s="382"/>
      <c r="E285" s="382"/>
    </row>
    <row r="286" spans="1:5">
      <c r="A286" t="s">
        <v>1355</v>
      </c>
      <c r="B286" t="s">
        <v>2914</v>
      </c>
    </row>
    <row r="287" spans="1:5">
      <c r="A287" t="s">
        <v>1456</v>
      </c>
      <c r="B287" t="s">
        <v>3148</v>
      </c>
    </row>
    <row r="288" spans="1:5">
      <c r="A288" t="s">
        <v>2534</v>
      </c>
      <c r="B288" t="s">
        <v>2915</v>
      </c>
    </row>
    <row r="289" spans="1:5">
      <c r="A289" t="s">
        <v>2535</v>
      </c>
      <c r="B289" t="s">
        <v>2916</v>
      </c>
    </row>
    <row r="290" spans="1:5">
      <c r="A290" t="s">
        <v>2536</v>
      </c>
      <c r="B290" t="s">
        <v>2537</v>
      </c>
    </row>
    <row r="291" spans="1:5">
      <c r="A291" t="s">
        <v>2538</v>
      </c>
      <c r="B291" t="s">
        <v>2539</v>
      </c>
    </row>
    <row r="292" spans="1:5">
      <c r="A292" t="s">
        <v>2216</v>
      </c>
      <c r="B292" t="s">
        <v>2540</v>
      </c>
    </row>
    <row r="293" spans="1:5">
      <c r="A293" t="s">
        <v>1252</v>
      </c>
      <c r="B293" t="s">
        <v>2917</v>
      </c>
    </row>
    <row r="294" spans="1:5">
      <c r="A294" t="s">
        <v>2541</v>
      </c>
      <c r="B294" t="s">
        <v>2542</v>
      </c>
    </row>
    <row r="296" spans="1:5" ht="15.6">
      <c r="A296" s="455" t="s">
        <v>2591</v>
      </c>
      <c r="B296" s="456"/>
      <c r="C296" s="456"/>
      <c r="D296" s="456"/>
      <c r="E296" s="456"/>
    </row>
    <row r="297" spans="1:5">
      <c r="A297" s="407" t="s">
        <v>2592</v>
      </c>
    </row>
    <row r="299" spans="1:5">
      <c r="A299" s="457" t="s">
        <v>2593</v>
      </c>
      <c r="B299" s="458"/>
      <c r="C299" s="458"/>
      <c r="D299" s="458"/>
      <c r="E299" s="458"/>
    </row>
    <row r="300" spans="1:5">
      <c r="A300" s="373" t="s">
        <v>1873</v>
      </c>
      <c r="B300" s="373" t="s">
        <v>2594</v>
      </c>
      <c r="C300" s="373" t="s">
        <v>2595</v>
      </c>
      <c r="D300" s="373" t="s">
        <v>2596</v>
      </c>
      <c r="E300" s="373" t="s">
        <v>2597</v>
      </c>
    </row>
    <row r="301" spans="1:5">
      <c r="A301" s="372" t="s">
        <v>2598</v>
      </c>
      <c r="B301" t="s">
        <v>2599</v>
      </c>
      <c r="C301" t="s">
        <v>2600</v>
      </c>
      <c r="D301" t="s">
        <v>2601</v>
      </c>
      <c r="E301" t="s">
        <v>2602</v>
      </c>
    </row>
    <row r="302" spans="1:5">
      <c r="A302" s="372" t="s">
        <v>2603</v>
      </c>
      <c r="B302" t="s">
        <v>2604</v>
      </c>
      <c r="C302" t="s">
        <v>2605</v>
      </c>
      <c r="D302" t="s">
        <v>2606</v>
      </c>
      <c r="E302" t="s">
        <v>2607</v>
      </c>
    </row>
    <row r="303" spans="1:5">
      <c r="A303" s="372" t="s">
        <v>2608</v>
      </c>
      <c r="B303" t="s">
        <v>2609</v>
      </c>
      <c r="C303" t="s">
        <v>2610</v>
      </c>
      <c r="D303" t="s">
        <v>2611</v>
      </c>
      <c r="E303" t="s">
        <v>2612</v>
      </c>
    </row>
    <row r="304" spans="1:5">
      <c r="A304" s="372" t="s">
        <v>2613</v>
      </c>
      <c r="B304" t="s">
        <v>2614</v>
      </c>
      <c r="C304" t="s">
        <v>2615</v>
      </c>
      <c r="D304" s="453" t="s">
        <v>2616</v>
      </c>
      <c r="E304" t="s">
        <v>2617</v>
      </c>
    </row>
    <row r="305" spans="1:5">
      <c r="A305" s="372" t="s">
        <v>2618</v>
      </c>
      <c r="B305" t="s">
        <v>2619</v>
      </c>
      <c r="C305" t="s">
        <v>2620</v>
      </c>
      <c r="D305" t="s">
        <v>2611</v>
      </c>
      <c r="E305" t="s">
        <v>2621</v>
      </c>
    </row>
    <row r="306" spans="1:5">
      <c r="A306" s="372" t="s">
        <v>2622</v>
      </c>
      <c r="B306" t="s">
        <v>2623</v>
      </c>
      <c r="C306" t="s">
        <v>2624</v>
      </c>
      <c r="D306" t="s">
        <v>2625</v>
      </c>
      <c r="E306" t="s">
        <v>2626</v>
      </c>
    </row>
    <row r="307" spans="1:5">
      <c r="A307" s="372" t="s">
        <v>2627</v>
      </c>
      <c r="B307" t="s">
        <v>2628</v>
      </c>
      <c r="C307" t="s">
        <v>2629</v>
      </c>
      <c r="D307" t="s">
        <v>2630</v>
      </c>
      <c r="E307" t="s">
        <v>2631</v>
      </c>
    </row>
    <row r="308" spans="1:5">
      <c r="A308" s="372" t="s">
        <v>2632</v>
      </c>
      <c r="B308" t="s">
        <v>2633</v>
      </c>
      <c r="C308" t="s">
        <v>2634</v>
      </c>
      <c r="D308" t="s">
        <v>2635</v>
      </c>
      <c r="E308" t="s">
        <v>2636</v>
      </c>
    </row>
    <row r="309" spans="1:5">
      <c r="A309" s="372" t="s">
        <v>2637</v>
      </c>
      <c r="B309" t="s">
        <v>2638</v>
      </c>
      <c r="C309" t="s">
        <v>2639</v>
      </c>
      <c r="D309" t="s">
        <v>2611</v>
      </c>
      <c r="E309" t="s">
        <v>2640</v>
      </c>
    </row>
    <row r="310" spans="1:5">
      <c r="A310" s="372" t="s">
        <v>2641</v>
      </c>
      <c r="B310" t="s">
        <v>2642</v>
      </c>
      <c r="C310" t="s">
        <v>2643</v>
      </c>
      <c r="D310" t="s">
        <v>2644</v>
      </c>
      <c r="E310" t="s">
        <v>2645</v>
      </c>
    </row>
    <row r="312" spans="1:5">
      <c r="A312" s="457" t="s">
        <v>2646</v>
      </c>
      <c r="B312" s="458"/>
      <c r="C312" s="458"/>
      <c r="D312" s="458"/>
      <c r="E312" s="458"/>
    </row>
    <row r="313" spans="1:5">
      <c r="A313" s="373" t="s">
        <v>2647</v>
      </c>
      <c r="B313" s="373" t="s">
        <v>2194</v>
      </c>
      <c r="C313" s="373" t="s">
        <v>2292</v>
      </c>
      <c r="D313" s="373" t="s">
        <v>2648</v>
      </c>
      <c r="E313" s="383"/>
    </row>
    <row r="314" spans="1:5">
      <c r="A314" t="s">
        <v>2649</v>
      </c>
      <c r="B314" t="s">
        <v>2650</v>
      </c>
      <c r="C314" t="s">
        <v>2651</v>
      </c>
      <c r="D314" t="s">
        <v>2652</v>
      </c>
    </row>
    <row r="315" spans="1:5">
      <c r="A315" t="s">
        <v>2653</v>
      </c>
      <c r="B315" t="s">
        <v>2654</v>
      </c>
      <c r="C315" t="s">
        <v>2655</v>
      </c>
      <c r="D315" t="s">
        <v>2656</v>
      </c>
    </row>
    <row r="316" spans="1:5">
      <c r="A316" t="s">
        <v>2657</v>
      </c>
      <c r="B316" t="s">
        <v>2658</v>
      </c>
      <c r="C316" t="s">
        <v>2659</v>
      </c>
      <c r="D316" t="s">
        <v>2660</v>
      </c>
    </row>
    <row r="317" spans="1:5">
      <c r="A317" t="s">
        <v>2661</v>
      </c>
      <c r="B317" t="s">
        <v>2662</v>
      </c>
      <c r="C317" t="s">
        <v>2663</v>
      </c>
      <c r="D317" t="s">
        <v>2664</v>
      </c>
    </row>
    <row r="318" spans="1:5">
      <c r="A318" t="s">
        <v>2665</v>
      </c>
      <c r="B318" t="s">
        <v>2666</v>
      </c>
      <c r="C318" t="s">
        <v>2667</v>
      </c>
      <c r="D318" t="s">
        <v>2668</v>
      </c>
    </row>
    <row r="320" spans="1:5">
      <c r="A320" s="457" t="s">
        <v>2669</v>
      </c>
      <c r="B320" s="458"/>
      <c r="C320" s="458"/>
      <c r="D320" s="458"/>
      <c r="E320" s="458"/>
    </row>
    <row r="321" spans="1:5">
      <c r="A321" s="373" t="s">
        <v>2670</v>
      </c>
      <c r="B321" s="373" t="s">
        <v>2594</v>
      </c>
      <c r="C321" s="373" t="s">
        <v>2671</v>
      </c>
      <c r="D321" s="373" t="s">
        <v>2672</v>
      </c>
      <c r="E321" s="383"/>
    </row>
    <row r="322" spans="1:5">
      <c r="A322" t="s">
        <v>2673</v>
      </c>
      <c r="B322" t="s">
        <v>2674</v>
      </c>
      <c r="C322" t="s">
        <v>2675</v>
      </c>
      <c r="D322" t="s">
        <v>2676</v>
      </c>
    </row>
    <row r="323" spans="1:5">
      <c r="A323" t="s">
        <v>2677</v>
      </c>
      <c r="B323" t="s">
        <v>2678</v>
      </c>
      <c r="C323" t="s">
        <v>2679</v>
      </c>
      <c r="D323" t="s">
        <v>2680</v>
      </c>
    </row>
    <row r="324" spans="1:5">
      <c r="A324" t="s">
        <v>2681</v>
      </c>
      <c r="B324" t="s">
        <v>2682</v>
      </c>
      <c r="C324" t="s">
        <v>2683</v>
      </c>
      <c r="D324" t="s">
        <v>2684</v>
      </c>
    </row>
    <row r="325" spans="1:5">
      <c r="A325" t="s">
        <v>2685</v>
      </c>
      <c r="B325" t="s">
        <v>2686</v>
      </c>
      <c r="C325" t="s">
        <v>2687</v>
      </c>
      <c r="D325" t="s">
        <v>2688</v>
      </c>
    </row>
    <row r="326" spans="1:5">
      <c r="A326" t="s">
        <v>2689</v>
      </c>
      <c r="B326" t="s">
        <v>2690</v>
      </c>
      <c r="C326" t="s">
        <v>2691</v>
      </c>
      <c r="D326" t="s">
        <v>2692</v>
      </c>
    </row>
    <row r="327" spans="1:5">
      <c r="A327" t="s">
        <v>926</v>
      </c>
      <c r="B327" t="s">
        <v>2693</v>
      </c>
      <c r="C327" t="s">
        <v>2694</v>
      </c>
      <c r="D327" t="s">
        <v>2695</v>
      </c>
    </row>
    <row r="328" spans="1:5">
      <c r="A328" t="s">
        <v>2611</v>
      </c>
      <c r="B328" t="s">
        <v>2696</v>
      </c>
      <c r="C328" t="s">
        <v>2697</v>
      </c>
      <c r="D328" t="s">
        <v>2698</v>
      </c>
    </row>
    <row r="330" spans="1:5">
      <c r="A330" s="457" t="s">
        <v>2699</v>
      </c>
      <c r="B330" s="458"/>
      <c r="C330" s="458"/>
      <c r="D330" s="458"/>
      <c r="E330" s="458"/>
    </row>
    <row r="331" spans="1:5">
      <c r="A331" s="373" t="s">
        <v>1751</v>
      </c>
      <c r="B331" s="373" t="s">
        <v>2700</v>
      </c>
      <c r="C331" s="373" t="s">
        <v>2701</v>
      </c>
      <c r="D331" s="373" t="s">
        <v>2702</v>
      </c>
      <c r="E331" s="383"/>
    </row>
    <row r="332" spans="1:5">
      <c r="A332" s="459" t="s">
        <v>2635</v>
      </c>
      <c r="B332" t="s">
        <v>2703</v>
      </c>
      <c r="C332" t="s">
        <v>2704</v>
      </c>
      <c r="D332" t="s">
        <v>2705</v>
      </c>
    </row>
    <row r="333" spans="1:5">
      <c r="A333" s="435" t="s">
        <v>2706</v>
      </c>
      <c r="B333" t="s">
        <v>2707</v>
      </c>
      <c r="C333" t="s">
        <v>2708</v>
      </c>
      <c r="D333" t="s">
        <v>2705</v>
      </c>
    </row>
    <row r="334" spans="1:5">
      <c r="A334" s="460" t="s">
        <v>2709</v>
      </c>
      <c r="B334" t="s">
        <v>2710</v>
      </c>
      <c r="C334" t="s">
        <v>2711</v>
      </c>
      <c r="D334" t="s">
        <v>2705</v>
      </c>
    </row>
    <row r="335" spans="1:5">
      <c r="A335" s="408" t="s">
        <v>2712</v>
      </c>
      <c r="B335" t="s">
        <v>2713</v>
      </c>
      <c r="C335" t="s">
        <v>2714</v>
      </c>
      <c r="D335" t="s">
        <v>2715</v>
      </c>
    </row>
    <row r="336" spans="1:5">
      <c r="A336" s="461" t="s">
        <v>2716</v>
      </c>
      <c r="B336" t="s">
        <v>2717</v>
      </c>
      <c r="C336" t="s">
        <v>2718</v>
      </c>
      <c r="D336" t="s">
        <v>2719</v>
      </c>
    </row>
    <row r="337" spans="1:5">
      <c r="A337" s="443" t="s">
        <v>2720</v>
      </c>
      <c r="B337" t="s">
        <v>2721</v>
      </c>
      <c r="C337" t="s">
        <v>2722</v>
      </c>
      <c r="D337" t="s">
        <v>2719</v>
      </c>
    </row>
    <row r="338" spans="1:5">
      <c r="A338" s="444" t="s">
        <v>2723</v>
      </c>
      <c r="B338" t="s">
        <v>2724</v>
      </c>
      <c r="C338" t="s">
        <v>2725</v>
      </c>
      <c r="D338" t="s">
        <v>2726</v>
      </c>
    </row>
    <row r="339" spans="1:5">
      <c r="A339" s="445" t="s">
        <v>2727</v>
      </c>
      <c r="B339" t="s">
        <v>2728</v>
      </c>
      <c r="C339" t="s">
        <v>2729</v>
      </c>
      <c r="D339" t="s">
        <v>2719</v>
      </c>
    </row>
    <row r="341" spans="1:5" ht="15.6">
      <c r="A341" s="462" t="s">
        <v>2730</v>
      </c>
      <c r="B341" s="463"/>
      <c r="C341" s="463"/>
      <c r="D341" s="463"/>
      <c r="E341" s="463"/>
    </row>
    <row r="342" spans="1:5">
      <c r="A342" s="407" t="s">
        <v>2731</v>
      </c>
    </row>
    <row r="344" spans="1:5">
      <c r="A344" s="373" t="s">
        <v>2732</v>
      </c>
      <c r="B344" s="373" t="s">
        <v>2733</v>
      </c>
      <c r="C344" s="373" t="s">
        <v>2734</v>
      </c>
      <c r="D344" s="373" t="s">
        <v>2735</v>
      </c>
      <c r="E344" s="373" t="s">
        <v>2736</v>
      </c>
    </row>
    <row r="345" spans="1:5">
      <c r="A345" s="375" t="s">
        <v>2737</v>
      </c>
      <c r="B345" t="s">
        <v>2738</v>
      </c>
      <c r="C345" t="s">
        <v>2739</v>
      </c>
      <c r="D345" t="s">
        <v>2740</v>
      </c>
      <c r="E345" t="s">
        <v>2741</v>
      </c>
    </row>
    <row r="346" spans="1:5">
      <c r="A346" s="375" t="s">
        <v>2742</v>
      </c>
      <c r="B346" t="s">
        <v>2743</v>
      </c>
      <c r="C346" t="s">
        <v>2744</v>
      </c>
      <c r="D346" t="s">
        <v>2745</v>
      </c>
      <c r="E346" t="s">
        <v>2741</v>
      </c>
    </row>
    <row r="347" spans="1:5">
      <c r="A347" s="375" t="s">
        <v>2746</v>
      </c>
      <c r="B347" t="s">
        <v>2747</v>
      </c>
      <c r="C347" t="s">
        <v>2748</v>
      </c>
      <c r="D347" t="s">
        <v>2749</v>
      </c>
      <c r="E347" t="s">
        <v>2750</v>
      </c>
    </row>
    <row r="348" spans="1:5">
      <c r="A348" s="446" t="s">
        <v>2751</v>
      </c>
      <c r="B348" t="s">
        <v>2752</v>
      </c>
      <c r="C348" t="s">
        <v>2753</v>
      </c>
      <c r="D348" t="s">
        <v>2754</v>
      </c>
      <c r="E348" t="s">
        <v>2755</v>
      </c>
    </row>
    <row r="349" spans="1:5">
      <c r="A349" s="446" t="s">
        <v>2756</v>
      </c>
      <c r="B349" t="s">
        <v>2757</v>
      </c>
      <c r="C349" t="s">
        <v>2758</v>
      </c>
      <c r="D349" t="s">
        <v>2759</v>
      </c>
      <c r="E349" t="s">
        <v>2760</v>
      </c>
    </row>
    <row r="350" spans="1:5">
      <c r="A350" s="403" t="s">
        <v>2761</v>
      </c>
      <c r="B350" t="s">
        <v>2762</v>
      </c>
      <c r="C350" t="s">
        <v>2763</v>
      </c>
      <c r="D350" t="s">
        <v>2764</v>
      </c>
      <c r="E350" t="s">
        <v>2765</v>
      </c>
    </row>
    <row r="351" spans="1:5">
      <c r="A351" s="444" t="s">
        <v>2766</v>
      </c>
      <c r="B351" t="s">
        <v>2767</v>
      </c>
      <c r="C351" t="s">
        <v>2768</v>
      </c>
      <c r="D351" t="s">
        <v>2769</v>
      </c>
      <c r="E351" t="s">
        <v>2741</v>
      </c>
    </row>
    <row r="352" spans="1:5">
      <c r="A352" s="444" t="s">
        <v>2770</v>
      </c>
      <c r="B352" t="s">
        <v>2771</v>
      </c>
      <c r="C352" t="s">
        <v>2772</v>
      </c>
      <c r="D352" t="s">
        <v>2773</v>
      </c>
      <c r="E352" t="s">
        <v>2774</v>
      </c>
    </row>
    <row r="353" spans="1:5">
      <c r="A353" s="464" t="s">
        <v>2775</v>
      </c>
      <c r="B353" t="s">
        <v>2776</v>
      </c>
      <c r="C353" t="s">
        <v>2777</v>
      </c>
      <c r="D353" t="s">
        <v>2778</v>
      </c>
      <c r="E353" t="s">
        <v>2774</v>
      </c>
    </row>
    <row r="355" spans="1:5">
      <c r="A355" s="465" t="s">
        <v>2779</v>
      </c>
      <c r="B355" s="380"/>
      <c r="C355" s="380"/>
      <c r="D355" s="380"/>
      <c r="E355" s="380"/>
    </row>
    <row r="356" spans="1:5">
      <c r="A356" t="s">
        <v>2780</v>
      </c>
    </row>
    <row r="357" spans="1:5">
      <c r="A357" t="s">
        <v>2781</v>
      </c>
      <c r="B357" t="s">
        <v>2782</v>
      </c>
    </row>
    <row r="358" spans="1:5">
      <c r="A358" t="s">
        <v>2783</v>
      </c>
      <c r="B358" t="s">
        <v>2784</v>
      </c>
    </row>
    <row r="359" spans="1:5">
      <c r="A359" t="s">
        <v>2785</v>
      </c>
      <c r="B359" t="s">
        <v>2786</v>
      </c>
    </row>
    <row r="360" spans="1:5">
      <c r="A360" t="s">
        <v>2787</v>
      </c>
      <c r="B360" t="s">
        <v>2788</v>
      </c>
    </row>
    <row r="361" spans="1:5">
      <c r="A361" t="s">
        <v>2789</v>
      </c>
      <c r="B361" t="s">
        <v>2784</v>
      </c>
    </row>
    <row r="362" spans="1:5">
      <c r="A362" t="s">
        <v>2790</v>
      </c>
      <c r="B362" t="s">
        <v>2791</v>
      </c>
    </row>
    <row r="364" spans="1:5" ht="15.6">
      <c r="A364" s="472" t="s">
        <v>2918</v>
      </c>
      <c r="B364" s="473"/>
      <c r="C364" s="473"/>
      <c r="D364" s="473"/>
      <c r="E364" s="473"/>
    </row>
    <row r="365" spans="1:5">
      <c r="A365" s="407" t="s">
        <v>2919</v>
      </c>
    </row>
    <row r="366" spans="1:5">
      <c r="A366" s="407" t="s">
        <v>2920</v>
      </c>
    </row>
    <row r="368" spans="1:5">
      <c r="A368" s="475" t="s">
        <v>2921</v>
      </c>
      <c r="B368" s="458"/>
      <c r="C368" s="458"/>
      <c r="D368" s="458"/>
      <c r="E368" s="458"/>
    </row>
    <row r="369" spans="1:5">
      <c r="A369" s="373" t="s">
        <v>573</v>
      </c>
      <c r="B369" s="373" t="s">
        <v>1874</v>
      </c>
      <c r="C369" s="373" t="s">
        <v>2922</v>
      </c>
      <c r="D369" s="373" t="s">
        <v>2596</v>
      </c>
      <c r="E369" s="373" t="s">
        <v>2597</v>
      </c>
    </row>
    <row r="370" spans="1:5">
      <c r="A370" s="372" t="s">
        <v>2923</v>
      </c>
      <c r="B370" t="s">
        <v>2924</v>
      </c>
      <c r="C370" t="s">
        <v>2925</v>
      </c>
      <c r="D370" t="s">
        <v>2926</v>
      </c>
      <c r="E370" t="s">
        <v>2927</v>
      </c>
    </row>
    <row r="371" spans="1:5">
      <c r="A371" s="372" t="s">
        <v>2928</v>
      </c>
      <c r="B371" t="s">
        <v>2929</v>
      </c>
      <c r="C371" t="s">
        <v>2930</v>
      </c>
      <c r="D371" t="s">
        <v>2931</v>
      </c>
      <c r="E371" t="s">
        <v>2932</v>
      </c>
    </row>
    <row r="372" spans="1:5">
      <c r="A372" s="372" t="s">
        <v>2933</v>
      </c>
      <c r="B372" t="s">
        <v>2934</v>
      </c>
      <c r="C372" t="s">
        <v>2935</v>
      </c>
      <c r="D372" t="s">
        <v>2936</v>
      </c>
      <c r="E372" t="s">
        <v>2937</v>
      </c>
    </row>
    <row r="373" spans="1:5">
      <c r="A373" s="372" t="s">
        <v>2938</v>
      </c>
      <c r="B373" t="s">
        <v>2939</v>
      </c>
      <c r="C373" t="s">
        <v>2940</v>
      </c>
      <c r="D373" t="s">
        <v>2941</v>
      </c>
      <c r="E373" t="s">
        <v>2942</v>
      </c>
    </row>
    <row r="374" spans="1:5">
      <c r="A374" s="372" t="s">
        <v>2943</v>
      </c>
      <c r="B374" t="s">
        <v>2944</v>
      </c>
      <c r="C374" t="s">
        <v>2945</v>
      </c>
      <c r="D374" t="s">
        <v>2946</v>
      </c>
      <c r="E374" t="s">
        <v>2947</v>
      </c>
    </row>
    <row r="375" spans="1:5">
      <c r="A375" s="372" t="s">
        <v>2948</v>
      </c>
      <c r="B375" t="s">
        <v>2949</v>
      </c>
      <c r="C375" t="s">
        <v>2950</v>
      </c>
      <c r="D375" t="s">
        <v>2951</v>
      </c>
      <c r="E375" t="s">
        <v>2952</v>
      </c>
    </row>
    <row r="377" spans="1:5">
      <c r="A377" s="475" t="s">
        <v>2953</v>
      </c>
      <c r="B377" s="458"/>
      <c r="C377" s="458"/>
      <c r="D377" s="458"/>
      <c r="E377" s="458"/>
    </row>
    <row r="378" spans="1:5">
      <c r="A378" s="373" t="s">
        <v>2954</v>
      </c>
      <c r="B378" s="373" t="s">
        <v>2955</v>
      </c>
      <c r="C378" s="373" t="s">
        <v>2956</v>
      </c>
      <c r="D378" s="373" t="s">
        <v>2143</v>
      </c>
      <c r="E378" s="373" t="s">
        <v>2957</v>
      </c>
    </row>
    <row r="379" spans="1:5">
      <c r="A379" s="372" t="s">
        <v>2958</v>
      </c>
      <c r="B379" t="s">
        <v>2959</v>
      </c>
      <c r="C379" t="s">
        <v>2960</v>
      </c>
      <c r="D379" t="s">
        <v>2961</v>
      </c>
      <c r="E379" t="s">
        <v>2962</v>
      </c>
    </row>
    <row r="380" spans="1:5">
      <c r="A380" s="372" t="s">
        <v>2963</v>
      </c>
      <c r="B380" t="s">
        <v>2964</v>
      </c>
      <c r="C380" t="s">
        <v>2965</v>
      </c>
      <c r="D380" t="s">
        <v>2966</v>
      </c>
      <c r="E380" t="s">
        <v>2967</v>
      </c>
    </row>
    <row r="381" spans="1:5">
      <c r="A381" s="372" t="s">
        <v>2968</v>
      </c>
      <c r="B381" t="s">
        <v>2969</v>
      </c>
      <c r="C381" t="s">
        <v>2970</v>
      </c>
      <c r="D381" t="s">
        <v>2971</v>
      </c>
      <c r="E381" t="s">
        <v>2972</v>
      </c>
    </row>
    <row r="382" spans="1:5">
      <c r="A382" s="372" t="s">
        <v>2973</v>
      </c>
      <c r="B382" t="s">
        <v>2974</v>
      </c>
      <c r="C382" t="s">
        <v>2975</v>
      </c>
      <c r="D382" t="s">
        <v>2976</v>
      </c>
      <c r="E382" t="s">
        <v>2977</v>
      </c>
    </row>
    <row r="384" spans="1:5">
      <c r="A384" s="475" t="s">
        <v>2978</v>
      </c>
      <c r="B384" s="458"/>
      <c r="C384" s="458"/>
      <c r="D384" s="458"/>
      <c r="E384" s="458"/>
    </row>
    <row r="385" spans="1:5">
      <c r="A385" s="373" t="s">
        <v>1873</v>
      </c>
      <c r="B385" s="373" t="s">
        <v>2594</v>
      </c>
      <c r="C385" s="373" t="s">
        <v>1850</v>
      </c>
      <c r="D385" s="373" t="s">
        <v>2979</v>
      </c>
      <c r="E385" s="383"/>
    </row>
    <row r="386" spans="1:5">
      <c r="A386" t="s">
        <v>2980</v>
      </c>
      <c r="B386" t="s">
        <v>2981</v>
      </c>
      <c r="C386" t="s">
        <v>2982</v>
      </c>
      <c r="D386" t="s">
        <v>2983</v>
      </c>
    </row>
    <row r="387" spans="1:5">
      <c r="A387" t="s">
        <v>2984</v>
      </c>
      <c r="B387" t="s">
        <v>2985</v>
      </c>
      <c r="C387" t="s">
        <v>2986</v>
      </c>
      <c r="D387" t="s">
        <v>2987</v>
      </c>
    </row>
    <row r="388" spans="1:5">
      <c r="A388" t="s">
        <v>2988</v>
      </c>
      <c r="B388" t="s">
        <v>2989</v>
      </c>
      <c r="C388" t="s">
        <v>2990</v>
      </c>
      <c r="D388" t="s">
        <v>2991</v>
      </c>
    </row>
    <row r="389" spans="1:5">
      <c r="A389" t="s">
        <v>2992</v>
      </c>
      <c r="B389" t="s">
        <v>2993</v>
      </c>
      <c r="C389" t="s">
        <v>2994</v>
      </c>
      <c r="D389" t="s">
        <v>2992</v>
      </c>
    </row>
    <row r="390" spans="1:5">
      <c r="A390" t="s">
        <v>2995</v>
      </c>
      <c r="B390" t="s">
        <v>2996</v>
      </c>
      <c r="C390" t="s">
        <v>2997</v>
      </c>
      <c r="D390" t="s">
        <v>2998</v>
      </c>
    </row>
    <row r="391" spans="1:5">
      <c r="A391" t="s">
        <v>2999</v>
      </c>
      <c r="B391" t="s">
        <v>3000</v>
      </c>
      <c r="D391" t="s">
        <v>3001</v>
      </c>
    </row>
    <row r="392" spans="1:5">
      <c r="A392" t="s">
        <v>3002</v>
      </c>
      <c r="B392" t="s">
        <v>3003</v>
      </c>
      <c r="C392" t="s">
        <v>3004</v>
      </c>
      <c r="D392" t="s">
        <v>2987</v>
      </c>
    </row>
    <row r="393" spans="1:5">
      <c r="A393" t="s">
        <v>3005</v>
      </c>
      <c r="B393" t="s">
        <v>3006</v>
      </c>
      <c r="D393" t="s">
        <v>3007</v>
      </c>
    </row>
    <row r="394" spans="1:5">
      <c r="A394" t="s">
        <v>3008</v>
      </c>
      <c r="B394" t="s">
        <v>3009</v>
      </c>
      <c r="C394" t="s">
        <v>3010</v>
      </c>
      <c r="D394" t="s">
        <v>3011</v>
      </c>
    </row>
    <row r="395" spans="1:5">
      <c r="A395" t="s">
        <v>3012</v>
      </c>
      <c r="B395" t="s">
        <v>3013</v>
      </c>
      <c r="C395" t="s">
        <v>3014</v>
      </c>
      <c r="D395" t="s">
        <v>3011</v>
      </c>
    </row>
    <row r="396" spans="1:5">
      <c r="A396" t="s">
        <v>3015</v>
      </c>
      <c r="B396" t="s">
        <v>3016</v>
      </c>
      <c r="C396" t="s">
        <v>3017</v>
      </c>
      <c r="D396" t="s">
        <v>3015</v>
      </c>
    </row>
    <row r="397" spans="1:5">
      <c r="A397" t="s">
        <v>3018</v>
      </c>
      <c r="B397" t="s">
        <v>3019</v>
      </c>
      <c r="C397" t="s">
        <v>3020</v>
      </c>
      <c r="D397" t="s">
        <v>3018</v>
      </c>
    </row>
    <row r="398" spans="1:5">
      <c r="A398" t="s">
        <v>3021</v>
      </c>
      <c r="B398" t="s">
        <v>3022</v>
      </c>
      <c r="C398" t="s">
        <v>3023</v>
      </c>
      <c r="D398" t="s">
        <v>3024</v>
      </c>
    </row>
    <row r="399" spans="1:5">
      <c r="A399" t="s">
        <v>3025</v>
      </c>
      <c r="B399" t="s">
        <v>3026</v>
      </c>
      <c r="C399" t="s">
        <v>3027</v>
      </c>
      <c r="D399" t="s">
        <v>3028</v>
      </c>
    </row>
    <row r="400" spans="1:5">
      <c r="A400" t="s">
        <v>3029</v>
      </c>
      <c r="B400" t="s">
        <v>3030</v>
      </c>
      <c r="C400" t="s">
        <v>3031</v>
      </c>
      <c r="D400" t="s">
        <v>2783</v>
      </c>
    </row>
    <row r="401" spans="1:5">
      <c r="A401" t="s">
        <v>3032</v>
      </c>
      <c r="B401" t="s">
        <v>3033</v>
      </c>
      <c r="C401" t="s">
        <v>3034</v>
      </c>
      <c r="D401" t="s">
        <v>3032</v>
      </c>
    </row>
    <row r="402" spans="1:5">
      <c r="A402" t="s">
        <v>3035</v>
      </c>
      <c r="B402" t="s">
        <v>3036</v>
      </c>
      <c r="C402" t="s">
        <v>3037</v>
      </c>
      <c r="D402" t="s">
        <v>3038</v>
      </c>
    </row>
    <row r="404" spans="1:5">
      <c r="A404" s="475" t="s">
        <v>3039</v>
      </c>
      <c r="B404" s="458"/>
      <c r="C404" s="458"/>
      <c r="D404" s="458"/>
      <c r="E404" s="458"/>
    </row>
    <row r="405" spans="1:5">
      <c r="A405" s="373" t="s">
        <v>2082</v>
      </c>
      <c r="B405" s="373" t="s">
        <v>3040</v>
      </c>
      <c r="C405" s="373" t="s">
        <v>2084</v>
      </c>
      <c r="D405" s="373" t="s">
        <v>2085</v>
      </c>
      <c r="E405" s="373" t="s">
        <v>3041</v>
      </c>
    </row>
    <row r="406" spans="1:5" ht="43.2">
      <c r="A406" s="372" t="s">
        <v>3042</v>
      </c>
      <c r="B406" t="s">
        <v>3043</v>
      </c>
      <c r="C406" s="376" t="s">
        <v>3044</v>
      </c>
      <c r="D406" s="376" t="s">
        <v>3045</v>
      </c>
      <c r="E406" t="s">
        <v>3046</v>
      </c>
    </row>
    <row r="407" spans="1:5">
      <c r="A407" s="372" t="s">
        <v>3047</v>
      </c>
      <c r="B407" t="s">
        <v>3048</v>
      </c>
      <c r="C407" t="s">
        <v>3049</v>
      </c>
      <c r="D407" t="s">
        <v>3050</v>
      </c>
      <c r="E407" t="s">
        <v>3046</v>
      </c>
    </row>
    <row r="408" spans="1:5" ht="28.8">
      <c r="A408" s="372" t="s">
        <v>3051</v>
      </c>
      <c r="B408" t="s">
        <v>3052</v>
      </c>
      <c r="C408" s="376" t="s">
        <v>3053</v>
      </c>
      <c r="D408" s="376" t="s">
        <v>3054</v>
      </c>
      <c r="E408" t="s">
        <v>3055</v>
      </c>
    </row>
    <row r="410" spans="1:5">
      <c r="A410" s="475" t="s">
        <v>3056</v>
      </c>
      <c r="B410" s="458"/>
      <c r="C410" s="458"/>
      <c r="D410" s="458"/>
      <c r="E410" s="458"/>
    </row>
    <row r="411" spans="1:5">
      <c r="A411" s="373" t="s">
        <v>3057</v>
      </c>
      <c r="B411" s="373" t="s">
        <v>1751</v>
      </c>
      <c r="C411" s="373" t="s">
        <v>3058</v>
      </c>
      <c r="D411" s="373" t="s">
        <v>3059</v>
      </c>
      <c r="E411" s="373" t="s">
        <v>3060</v>
      </c>
    </row>
    <row r="412" spans="1:5">
      <c r="A412" s="446" t="s">
        <v>3061</v>
      </c>
      <c r="B412" t="s">
        <v>3062</v>
      </c>
      <c r="C412" t="s">
        <v>3063</v>
      </c>
      <c r="D412" t="s">
        <v>3064</v>
      </c>
      <c r="E412" t="s">
        <v>3065</v>
      </c>
    </row>
    <row r="413" spans="1:5">
      <c r="A413" t="s">
        <v>3066</v>
      </c>
      <c r="B413" t="s">
        <v>3067</v>
      </c>
      <c r="C413" t="s">
        <v>3068</v>
      </c>
      <c r="D413" t="s">
        <v>3069</v>
      </c>
      <c r="E413" t="s">
        <v>3070</v>
      </c>
    </row>
    <row r="414" spans="1:5">
      <c r="A414" t="s">
        <v>3071</v>
      </c>
      <c r="B414" t="s">
        <v>3067</v>
      </c>
      <c r="C414" t="s">
        <v>3072</v>
      </c>
      <c r="D414" t="e">
        <f>+ episode_number, show_id, rss_feed, transcript (Whisper)</f>
        <v>#NAME?</v>
      </c>
      <c r="E414" t="s">
        <v>3073</v>
      </c>
    </row>
    <row r="415" spans="1:5">
      <c r="A415" t="s">
        <v>3074</v>
      </c>
      <c r="B415" t="s">
        <v>3067</v>
      </c>
      <c r="C415" t="s">
        <v>3075</v>
      </c>
      <c r="D415" t="s">
        <v>3076</v>
      </c>
      <c r="E415" t="s">
        <v>3077</v>
      </c>
    </row>
    <row r="416" spans="1:5">
      <c r="A416" t="s">
        <v>3078</v>
      </c>
      <c r="B416" t="s">
        <v>3079</v>
      </c>
      <c r="C416" t="s">
        <v>3080</v>
      </c>
      <c r="D416" t="e">
        <f>+ tweet_id, thread_id, reply_to_id, retweet_count, quote_count</f>
        <v>#NAME?</v>
      </c>
      <c r="E416" t="s">
        <v>3081</v>
      </c>
    </row>
    <row r="417" spans="1:5">
      <c r="A417" t="s">
        <v>3082</v>
      </c>
      <c r="B417" t="s">
        <v>3067</v>
      </c>
      <c r="C417" t="s">
        <v>3083</v>
      </c>
      <c r="D417" t="e">
        <f>+ subreddit, post_id, upvote_ratio, flair</f>
        <v>#NAME?</v>
      </c>
      <c r="E417" t="s">
        <v>3084</v>
      </c>
    </row>
  </sheetData>
  <mergeCells count="3">
    <mergeCell ref="A1:E1"/>
    <mergeCell ref="A2:E2"/>
    <mergeCell ref="A161:E161"/>
  </mergeCells>
  <dataValidations count="9">
    <dataValidation type="list" allowBlank="1" showInputMessage="1" showErrorMessage="1" sqref="C6" xr:uid="{C514FB6A-7BF3-4DFD-8C4B-86D1D9802680}">
      <formula1>"DROPDOWNS!$BR$2:$BR$7"</formula1>
    </dataValidation>
    <dataValidation type="list" allowBlank="1" showInputMessage="1" showErrorMessage="1" sqref="C8" xr:uid="{9AFFDA76-1BC9-43E0-89F0-102CC229E589}">
      <formula1>"DROPDOWNS!$BS$2:$BS$8"</formula1>
    </dataValidation>
    <dataValidation type="list" allowBlank="1" showInputMessage="1" showErrorMessage="1" sqref="C10" xr:uid="{357E4404-2458-48F6-9FD9-DFBBC600403B}">
      <formula1>"DROPDOWNS!$BT$2:$BT$7"</formula1>
    </dataValidation>
    <dataValidation type="list" allowBlank="1" showInputMessage="1" showErrorMessage="1" sqref="C12" xr:uid="{37A15CB9-1C12-4BBA-A9CE-0EBB64A8C5F4}">
      <formula1>"DROPDOWNS!$BU$2:$BU$7"</formula1>
    </dataValidation>
    <dataValidation type="list" allowBlank="1" showInputMessage="1" showErrorMessage="1" sqref="C14" xr:uid="{6225AB55-5394-4A4D-9DAF-60F562CBE75B}">
      <formula1>"DROPDOWNS!$BV$2:$BV$11"</formula1>
    </dataValidation>
    <dataValidation type="list" allowBlank="1" showInputMessage="1" showErrorMessage="1" sqref="C16" xr:uid="{B4865876-BD15-411E-931A-44C69FB4A05A}">
      <formula1>"DROPDOWNS!$BW$2:$BW$8"</formula1>
    </dataValidation>
    <dataValidation type="list" allowBlank="1" showInputMessage="1" showErrorMessage="1" sqref="C19" xr:uid="{5F79BAD1-30D2-4D02-A668-AB5CE2FD904A}">
      <formula1>"Yes — Include Media,No — Links Only,Later / Decide Per Run"</formula1>
    </dataValidation>
    <dataValidation type="list" allowBlank="1" showInputMessage="1" showErrorMessage="1" sqref="C21" xr:uid="{570FF0C7-B549-4D7D-9F28-E8AC969EEF5C}">
      <formula1>"Metadata Only,Metadata + Transcripts,Metadata + Transcripts + Comments,Full Research Harvest,Deep Media Harvest"</formula1>
    </dataValidation>
    <dataValidation type="list" allowBlank="1" showInputMessage="1" showErrorMessage="1" sqref="C23" xr:uid="{560AFFDA-9BC6-45C8-9517-133D35B3E4EF}">
      <formula1>"Channel Inventory (metadata only),Transcript Harvest (up to 500 videos),Research Harvest (up to 200 videos),Deep Media Harvest (up to 50 videos)"</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A843"/>
  </sheetPr>
  <dimension ref="A1:F119"/>
  <sheetViews>
    <sheetView workbookViewId="0">
      <pane ySplit="2" topLeftCell="A6" activePane="bottomLeft" state="frozen"/>
      <selection pane="bottomLeft" activeCell="B6" sqref="B6"/>
    </sheetView>
  </sheetViews>
  <sheetFormatPr defaultRowHeight="14.4"/>
  <cols>
    <col min="1" max="1" width="22" customWidth="1"/>
    <col min="2" max="2" width="40" customWidth="1"/>
    <col min="3" max="3" width="18" customWidth="1"/>
    <col min="4" max="4" width="40" customWidth="1"/>
    <col min="5" max="5" width="18" customWidth="1"/>
    <col min="6" max="6" width="30" customWidth="1"/>
  </cols>
  <sheetData>
    <row r="1" spans="1:6" ht="45" customHeight="1">
      <c r="A1" s="713" t="s">
        <v>0</v>
      </c>
      <c r="B1" s="705"/>
      <c r="C1" s="705"/>
      <c r="D1" s="705"/>
      <c r="E1" s="705"/>
      <c r="F1" s="705"/>
    </row>
    <row r="2" spans="1:6" ht="22.05" customHeight="1">
      <c r="A2" s="708" t="s">
        <v>1</v>
      </c>
      <c r="B2" s="705"/>
      <c r="C2" s="705"/>
      <c r="D2" s="705"/>
      <c r="E2" s="705"/>
      <c r="F2" s="705"/>
    </row>
    <row r="3" spans="1:6">
      <c r="A3" s="1"/>
      <c r="B3" s="1"/>
      <c r="C3" s="1"/>
      <c r="D3" s="1"/>
      <c r="E3" s="1"/>
      <c r="F3" s="1"/>
    </row>
    <row r="4" spans="1:6" ht="30" customHeight="1">
      <c r="A4" s="704" t="s">
        <v>2</v>
      </c>
      <c r="B4" s="705"/>
      <c r="C4" s="705"/>
      <c r="D4" s="705"/>
      <c r="E4" s="705"/>
      <c r="F4" s="705"/>
    </row>
    <row r="5" spans="1:6">
      <c r="A5" s="2" t="s">
        <v>3</v>
      </c>
      <c r="B5" s="3" t="s">
        <v>4</v>
      </c>
      <c r="C5" s="1"/>
      <c r="D5" s="1"/>
      <c r="E5" s="1"/>
      <c r="F5" s="1"/>
    </row>
    <row r="6" spans="1:6" ht="22.8">
      <c r="A6" s="2" t="s">
        <v>5</v>
      </c>
      <c r="B6" s="3" t="s">
        <v>298</v>
      </c>
      <c r="C6" s="1"/>
      <c r="D6" s="1"/>
      <c r="E6" s="1"/>
      <c r="F6" s="1"/>
    </row>
    <row r="7" spans="1:6">
      <c r="A7" s="2" t="s">
        <v>6</v>
      </c>
      <c r="B7" s="3" t="s">
        <v>7</v>
      </c>
      <c r="C7" s="1"/>
      <c r="D7" s="1"/>
      <c r="E7" s="1"/>
      <c r="F7" s="1"/>
    </row>
    <row r="8" spans="1:6">
      <c r="A8" s="2" t="s">
        <v>8</v>
      </c>
      <c r="B8" s="3" t="s">
        <v>7</v>
      </c>
      <c r="C8" s="1"/>
      <c r="D8" s="1"/>
      <c r="E8" s="1"/>
      <c r="F8" s="1"/>
    </row>
    <row r="9" spans="1:6">
      <c r="A9" s="2" t="s">
        <v>9</v>
      </c>
      <c r="B9" s="3" t="s">
        <v>7</v>
      </c>
      <c r="C9" s="1"/>
      <c r="D9" s="1"/>
      <c r="E9" s="1"/>
      <c r="F9" s="1"/>
    </row>
    <row r="10" spans="1:6">
      <c r="A10" s="2" t="s">
        <v>10</v>
      </c>
      <c r="B10" s="4" t="s">
        <v>11</v>
      </c>
      <c r="C10" s="1"/>
      <c r="D10" s="1"/>
      <c r="E10" s="1"/>
      <c r="F10" s="1"/>
    </row>
    <row r="11" spans="1:6">
      <c r="A11" s="2" t="s">
        <v>12</v>
      </c>
      <c r="B11" s="3" t="s">
        <v>13</v>
      </c>
      <c r="C11" s="1"/>
      <c r="D11" s="1"/>
      <c r="E11" s="1"/>
      <c r="F11" s="1"/>
    </row>
    <row r="12" spans="1:6">
      <c r="A12" s="2" t="s">
        <v>14</v>
      </c>
      <c r="B12" s="3" t="s">
        <v>15</v>
      </c>
      <c r="C12" s="1"/>
      <c r="D12" s="1"/>
      <c r="E12" s="1"/>
      <c r="F12" s="1"/>
    </row>
    <row r="13" spans="1:6">
      <c r="A13" s="2" t="s">
        <v>16</v>
      </c>
      <c r="B13" s="4" t="s">
        <v>17</v>
      </c>
      <c r="C13" s="1"/>
      <c r="D13" s="1"/>
      <c r="E13" s="1"/>
      <c r="F13" s="1"/>
    </row>
    <row r="14" spans="1:6">
      <c r="A14" s="2" t="s">
        <v>18</v>
      </c>
      <c r="B14" s="3" t="s">
        <v>19</v>
      </c>
      <c r="C14" s="1"/>
      <c r="D14" s="1"/>
      <c r="E14" s="1"/>
      <c r="F14" s="1"/>
    </row>
    <row r="15" spans="1:6">
      <c r="A15" s="1"/>
      <c r="B15" s="1"/>
      <c r="C15" s="1"/>
      <c r="D15" s="1"/>
      <c r="E15" s="1"/>
      <c r="F15" s="1"/>
    </row>
    <row r="16" spans="1:6" ht="30" customHeight="1">
      <c r="A16" s="704" t="s">
        <v>20</v>
      </c>
      <c r="B16" s="705"/>
      <c r="C16" s="705"/>
      <c r="D16" s="705"/>
      <c r="E16" s="705"/>
      <c r="F16" s="705"/>
    </row>
    <row r="17" spans="1:6" ht="49.95" customHeight="1">
      <c r="A17" s="2" t="s">
        <v>21</v>
      </c>
      <c r="B17" s="707" t="s">
        <v>22</v>
      </c>
      <c r="C17" s="705"/>
      <c r="D17" s="705"/>
      <c r="E17" s="705"/>
      <c r="F17" s="705"/>
    </row>
    <row r="18" spans="1:6">
      <c r="A18" s="1"/>
      <c r="B18" s="1"/>
      <c r="C18" s="1"/>
      <c r="D18" s="1"/>
      <c r="E18" s="1"/>
      <c r="F18" s="1"/>
    </row>
    <row r="19" spans="1:6" ht="30" customHeight="1">
      <c r="A19" s="704" t="s">
        <v>23</v>
      </c>
      <c r="B19" s="705"/>
      <c r="C19" s="705"/>
      <c r="D19" s="705"/>
      <c r="E19" s="705"/>
      <c r="F19" s="705"/>
    </row>
    <row r="20" spans="1:6" ht="24" customHeight="1">
      <c r="A20" s="712" t="s">
        <v>24</v>
      </c>
      <c r="B20" s="705"/>
      <c r="C20" s="705"/>
      <c r="D20" s="705"/>
      <c r="E20" s="705"/>
      <c r="F20" s="705"/>
    </row>
    <row r="21" spans="1:6" ht="60" customHeight="1">
      <c r="A21" s="2" t="s">
        <v>25</v>
      </c>
      <c r="B21" s="707" t="s">
        <v>26</v>
      </c>
      <c r="C21" s="705"/>
      <c r="D21" s="705"/>
      <c r="E21" s="705"/>
      <c r="F21" s="705"/>
    </row>
    <row r="22" spans="1:6" ht="40.049999999999997" customHeight="1">
      <c r="A22" s="2" t="s">
        <v>27</v>
      </c>
      <c r="B22" s="707" t="s">
        <v>28</v>
      </c>
      <c r="C22" s="705"/>
      <c r="D22" s="705"/>
      <c r="E22" s="705"/>
      <c r="F22" s="705"/>
    </row>
    <row r="23" spans="1:6" ht="40.049999999999997" customHeight="1">
      <c r="A23" s="2" t="s">
        <v>29</v>
      </c>
      <c r="B23" s="707" t="s">
        <v>30</v>
      </c>
      <c r="C23" s="705"/>
      <c r="D23" s="705"/>
      <c r="E23" s="705"/>
      <c r="F23" s="705"/>
    </row>
    <row r="24" spans="1:6" ht="49.95" customHeight="1">
      <c r="A24" s="2" t="s">
        <v>31</v>
      </c>
      <c r="B24" s="707" t="s">
        <v>32</v>
      </c>
      <c r="C24" s="705"/>
      <c r="D24" s="705"/>
      <c r="E24" s="705"/>
      <c r="F24" s="705"/>
    </row>
    <row r="25" spans="1:6" ht="49.95" customHeight="1">
      <c r="A25" s="2" t="s">
        <v>33</v>
      </c>
      <c r="B25" s="707" t="s">
        <v>34</v>
      </c>
      <c r="C25" s="705"/>
      <c r="D25" s="705"/>
      <c r="E25" s="705"/>
      <c r="F25" s="705"/>
    </row>
    <row r="26" spans="1:6" ht="120" customHeight="1">
      <c r="A26" s="2" t="s">
        <v>35</v>
      </c>
      <c r="B26" s="707" t="s">
        <v>36</v>
      </c>
      <c r="C26" s="705"/>
      <c r="D26" s="705"/>
      <c r="E26" s="705"/>
      <c r="F26" s="705"/>
    </row>
    <row r="27" spans="1:6">
      <c r="A27" s="1"/>
      <c r="B27" s="1"/>
      <c r="C27" s="1"/>
      <c r="D27" s="1"/>
      <c r="E27" s="1"/>
      <c r="F27" s="1"/>
    </row>
    <row r="28" spans="1:6" ht="30" customHeight="1">
      <c r="A28" s="704" t="s">
        <v>37</v>
      </c>
      <c r="B28" s="705"/>
      <c r="C28" s="705"/>
      <c r="D28" s="705"/>
      <c r="E28" s="705"/>
      <c r="F28" s="705"/>
    </row>
    <row r="29" spans="1:6" ht="24" customHeight="1">
      <c r="A29" s="712" t="s">
        <v>38</v>
      </c>
      <c r="B29" s="705"/>
      <c r="C29" s="705"/>
      <c r="D29" s="705"/>
      <c r="E29" s="705"/>
      <c r="F29" s="705"/>
    </row>
    <row r="30" spans="1:6" ht="34.950000000000003" customHeight="1">
      <c r="A30" s="2" t="s">
        <v>39</v>
      </c>
      <c r="B30" s="3" t="s">
        <v>7</v>
      </c>
      <c r="C30" s="2" t="s">
        <v>40</v>
      </c>
      <c r="D30" s="707" t="s">
        <v>41</v>
      </c>
      <c r="E30" s="705"/>
      <c r="F30" s="705"/>
    </row>
    <row r="31" spans="1:6" ht="34.950000000000003" customHeight="1">
      <c r="A31" s="2" t="s">
        <v>42</v>
      </c>
      <c r="B31" s="3" t="s">
        <v>7</v>
      </c>
      <c r="C31" s="2" t="s">
        <v>40</v>
      </c>
      <c r="D31" s="707" t="s">
        <v>41</v>
      </c>
      <c r="E31" s="705"/>
      <c r="F31" s="705"/>
    </row>
    <row r="32" spans="1:6" ht="34.950000000000003" customHeight="1">
      <c r="A32" s="2" t="s">
        <v>43</v>
      </c>
      <c r="B32" s="3" t="s">
        <v>7</v>
      </c>
      <c r="C32" s="2" t="s">
        <v>40</v>
      </c>
      <c r="D32" s="707" t="s">
        <v>41</v>
      </c>
      <c r="E32" s="705"/>
      <c r="F32" s="705"/>
    </row>
    <row r="33" spans="1:6" ht="34.950000000000003" customHeight="1">
      <c r="A33" s="2" t="s">
        <v>44</v>
      </c>
      <c r="B33" s="3" t="s">
        <v>7</v>
      </c>
      <c r="C33" s="2" t="s">
        <v>40</v>
      </c>
      <c r="D33" s="707" t="s">
        <v>41</v>
      </c>
      <c r="E33" s="705"/>
      <c r="F33" s="705"/>
    </row>
    <row r="34" spans="1:6" ht="34.950000000000003" customHeight="1">
      <c r="A34" s="2" t="s">
        <v>45</v>
      </c>
      <c r="B34" s="707" t="s">
        <v>46</v>
      </c>
      <c r="C34" s="705"/>
      <c r="D34" s="705"/>
      <c r="E34" s="705"/>
      <c r="F34" s="705"/>
    </row>
    <row r="35" spans="1:6" ht="49.95" customHeight="1">
      <c r="A35" s="2" t="s">
        <v>47</v>
      </c>
      <c r="B35" s="707" t="s">
        <v>48</v>
      </c>
      <c r="C35" s="705"/>
      <c r="D35" s="705"/>
      <c r="E35" s="705"/>
      <c r="F35" s="705"/>
    </row>
    <row r="36" spans="1:6">
      <c r="A36" s="1"/>
      <c r="B36" s="1"/>
      <c r="C36" s="1"/>
      <c r="D36" s="1"/>
      <c r="E36" s="1"/>
      <c r="F36" s="1"/>
    </row>
    <row r="37" spans="1:6" ht="30" customHeight="1">
      <c r="A37" s="704" t="s">
        <v>49</v>
      </c>
      <c r="B37" s="705"/>
      <c r="C37" s="705"/>
      <c r="D37" s="705"/>
      <c r="E37" s="705"/>
      <c r="F37" s="705"/>
    </row>
    <row r="38" spans="1:6" ht="40.049999999999997" customHeight="1">
      <c r="A38" s="2" t="s">
        <v>50</v>
      </c>
      <c r="B38" s="707" t="s">
        <v>51</v>
      </c>
      <c r="C38" s="705"/>
      <c r="D38" s="705"/>
      <c r="E38" s="705"/>
      <c r="F38" s="705"/>
    </row>
    <row r="39" spans="1:6" ht="40.049999999999997" customHeight="1">
      <c r="A39" s="2" t="s">
        <v>52</v>
      </c>
      <c r="B39" s="707" t="s">
        <v>53</v>
      </c>
      <c r="C39" s="705"/>
      <c r="D39" s="705"/>
      <c r="E39" s="705"/>
      <c r="F39" s="705"/>
    </row>
    <row r="40" spans="1:6" ht="34.950000000000003" customHeight="1">
      <c r="A40" s="2" t="s">
        <v>54</v>
      </c>
      <c r="B40" s="707" t="s">
        <v>55</v>
      </c>
      <c r="C40" s="705"/>
      <c r="D40" s="705"/>
      <c r="E40" s="705"/>
      <c r="F40" s="705"/>
    </row>
    <row r="41" spans="1:6" ht="34.950000000000003" customHeight="1">
      <c r="A41" s="2" t="s">
        <v>56</v>
      </c>
      <c r="B41" s="707" t="s">
        <v>57</v>
      </c>
      <c r="C41" s="705"/>
      <c r="D41" s="705"/>
      <c r="E41" s="705"/>
      <c r="F41" s="705"/>
    </row>
    <row r="42" spans="1:6" ht="34.950000000000003" customHeight="1">
      <c r="A42" s="2" t="s">
        <v>58</v>
      </c>
      <c r="B42" s="707" t="s">
        <v>59</v>
      </c>
      <c r="C42" s="705"/>
      <c r="D42" s="705"/>
      <c r="E42" s="705"/>
      <c r="F42" s="705"/>
    </row>
    <row r="43" spans="1:6" ht="24" customHeight="1">
      <c r="A43" s="712" t="s">
        <v>60</v>
      </c>
      <c r="B43" s="705"/>
      <c r="C43" s="705"/>
      <c r="D43" s="705"/>
      <c r="E43" s="705"/>
      <c r="F43" s="705"/>
    </row>
    <row r="44" spans="1:6" ht="30" customHeight="1">
      <c r="A44" s="2" t="s">
        <v>61</v>
      </c>
      <c r="B44" s="707" t="s">
        <v>62</v>
      </c>
      <c r="C44" s="705"/>
      <c r="D44" s="705"/>
      <c r="E44" s="705"/>
      <c r="F44" s="705"/>
    </row>
    <row r="45" spans="1:6" ht="30" customHeight="1">
      <c r="A45" s="2" t="s">
        <v>63</v>
      </c>
      <c r="B45" s="707" t="s">
        <v>64</v>
      </c>
      <c r="C45" s="705"/>
      <c r="D45" s="705"/>
      <c r="E45" s="705"/>
      <c r="F45" s="705"/>
    </row>
    <row r="46" spans="1:6" ht="30" customHeight="1">
      <c r="A46" s="2" t="s">
        <v>65</v>
      </c>
      <c r="B46" s="707" t="s">
        <v>66</v>
      </c>
      <c r="C46" s="705"/>
      <c r="D46" s="705"/>
      <c r="E46" s="705"/>
      <c r="F46" s="705"/>
    </row>
    <row r="47" spans="1:6" ht="30" customHeight="1">
      <c r="A47" s="2" t="s">
        <v>67</v>
      </c>
      <c r="B47" s="707" t="s">
        <v>68</v>
      </c>
      <c r="C47" s="705"/>
      <c r="D47" s="705"/>
      <c r="E47" s="705"/>
      <c r="F47" s="705"/>
    </row>
    <row r="48" spans="1:6" ht="30" customHeight="1">
      <c r="A48" s="2" t="s">
        <v>69</v>
      </c>
      <c r="B48" s="707" t="s">
        <v>70</v>
      </c>
      <c r="C48" s="705"/>
      <c r="D48" s="705"/>
      <c r="E48" s="705"/>
      <c r="F48" s="705"/>
    </row>
    <row r="49" spans="1:6" ht="30" customHeight="1">
      <c r="A49" s="2" t="s">
        <v>71</v>
      </c>
      <c r="B49" s="707" t="s">
        <v>72</v>
      </c>
      <c r="C49" s="705"/>
      <c r="D49" s="705"/>
      <c r="E49" s="705"/>
      <c r="F49" s="705"/>
    </row>
    <row r="50" spans="1:6">
      <c r="A50" s="1"/>
      <c r="B50" s="1"/>
      <c r="C50" s="1"/>
      <c r="D50" s="1"/>
      <c r="E50" s="1"/>
      <c r="F50" s="1"/>
    </row>
    <row r="51" spans="1:6" ht="30" customHeight="1">
      <c r="A51" s="704" t="s">
        <v>73</v>
      </c>
      <c r="B51" s="705"/>
      <c r="C51" s="705"/>
      <c r="D51" s="705"/>
      <c r="E51" s="705"/>
      <c r="F51" s="705"/>
    </row>
    <row r="52" spans="1:6" ht="60" customHeight="1">
      <c r="A52" s="2" t="s">
        <v>74</v>
      </c>
      <c r="B52" s="707" t="s">
        <v>75</v>
      </c>
      <c r="C52" s="705"/>
      <c r="D52" s="705"/>
      <c r="E52" s="705"/>
      <c r="F52" s="705"/>
    </row>
    <row r="53" spans="1:6" ht="24" customHeight="1">
      <c r="A53" s="712" t="s">
        <v>76</v>
      </c>
      <c r="B53" s="705"/>
      <c r="C53" s="705"/>
      <c r="D53" s="705"/>
      <c r="E53" s="705"/>
      <c r="F53" s="705"/>
    </row>
    <row r="54" spans="1:6">
      <c r="A54" s="2" t="s">
        <v>77</v>
      </c>
      <c r="B54" s="3" t="s">
        <v>7</v>
      </c>
      <c r="C54" s="2" t="s">
        <v>78</v>
      </c>
      <c r="D54" s="707" t="s">
        <v>79</v>
      </c>
      <c r="E54" s="705"/>
      <c r="F54" s="705"/>
    </row>
    <row r="55" spans="1:6">
      <c r="A55" s="2" t="s">
        <v>80</v>
      </c>
      <c r="B55" s="3" t="s">
        <v>7</v>
      </c>
      <c r="C55" s="2" t="s">
        <v>78</v>
      </c>
      <c r="D55" s="707" t="s">
        <v>79</v>
      </c>
      <c r="E55" s="705"/>
      <c r="F55" s="705"/>
    </row>
    <row r="56" spans="1:6">
      <c r="A56" s="2" t="s">
        <v>81</v>
      </c>
      <c r="B56" s="3" t="s">
        <v>7</v>
      </c>
      <c r="C56" s="2" t="s">
        <v>78</v>
      </c>
      <c r="D56" s="707" t="s">
        <v>79</v>
      </c>
      <c r="E56" s="705"/>
      <c r="F56" s="705"/>
    </row>
    <row r="57" spans="1:6">
      <c r="A57" s="2" t="s">
        <v>82</v>
      </c>
      <c r="B57" s="3" t="s">
        <v>7</v>
      </c>
      <c r="C57" s="2" t="s">
        <v>78</v>
      </c>
      <c r="D57" s="707" t="s">
        <v>79</v>
      </c>
      <c r="E57" s="705"/>
      <c r="F57" s="705"/>
    </row>
    <row r="58" spans="1:6">
      <c r="A58" s="1"/>
      <c r="B58" s="1"/>
      <c r="C58" s="1"/>
      <c r="D58" s="1"/>
      <c r="E58" s="1"/>
      <c r="F58" s="1"/>
    </row>
    <row r="59" spans="1:6" ht="24" customHeight="1">
      <c r="A59" s="712" t="s">
        <v>83</v>
      </c>
      <c r="B59" s="705"/>
      <c r="C59" s="705"/>
      <c r="D59" s="705"/>
      <c r="E59" s="705"/>
      <c r="F59" s="705"/>
    </row>
    <row r="60" spans="1:6">
      <c r="A60" s="5" t="s">
        <v>84</v>
      </c>
      <c r="B60" s="5" t="s">
        <v>85</v>
      </c>
      <c r="C60" s="5" t="s">
        <v>86</v>
      </c>
      <c r="D60" s="5" t="s">
        <v>87</v>
      </c>
      <c r="E60" s="5" t="s">
        <v>88</v>
      </c>
      <c r="F60" s="1"/>
    </row>
    <row r="61" spans="1:6">
      <c r="A61" s="6">
        <v>1</v>
      </c>
      <c r="B61" s="3" t="s">
        <v>7</v>
      </c>
      <c r="C61" s="4"/>
      <c r="D61" s="4"/>
      <c r="E61" s="4"/>
      <c r="F61" s="1"/>
    </row>
    <row r="62" spans="1:6">
      <c r="A62" s="6">
        <v>2</v>
      </c>
      <c r="B62" s="3" t="s">
        <v>7</v>
      </c>
      <c r="C62" s="4"/>
      <c r="D62" s="4"/>
      <c r="E62" s="4"/>
      <c r="F62" s="1"/>
    </row>
    <row r="63" spans="1:6">
      <c r="A63" s="6">
        <v>3</v>
      </c>
      <c r="B63" s="3" t="s">
        <v>7</v>
      </c>
      <c r="C63" s="4"/>
      <c r="D63" s="4"/>
      <c r="E63" s="4"/>
      <c r="F63" s="1"/>
    </row>
    <row r="64" spans="1:6">
      <c r="A64" s="6">
        <v>4</v>
      </c>
      <c r="B64" s="3" t="s">
        <v>7</v>
      </c>
      <c r="C64" s="4"/>
      <c r="D64" s="4"/>
      <c r="E64" s="4"/>
      <c r="F64" s="1"/>
    </row>
    <row r="65" spans="1:6">
      <c r="A65" s="6">
        <v>5</v>
      </c>
      <c r="B65" s="3" t="s">
        <v>7</v>
      </c>
      <c r="C65" s="4"/>
      <c r="D65" s="4"/>
      <c r="E65" s="4"/>
      <c r="F65" s="1"/>
    </row>
    <row r="66" spans="1:6">
      <c r="A66" s="6">
        <v>6</v>
      </c>
      <c r="B66" s="3" t="s">
        <v>7</v>
      </c>
      <c r="C66" s="4"/>
      <c r="D66" s="4"/>
      <c r="E66" s="4"/>
      <c r="F66" s="1"/>
    </row>
    <row r="67" spans="1:6">
      <c r="A67" s="6">
        <v>7</v>
      </c>
      <c r="B67" s="3" t="s">
        <v>7</v>
      </c>
      <c r="C67" s="4"/>
      <c r="D67" s="4"/>
      <c r="E67" s="4"/>
      <c r="F67" s="1"/>
    </row>
    <row r="68" spans="1:6">
      <c r="A68" s="1"/>
      <c r="B68" s="1"/>
      <c r="C68" s="1"/>
      <c r="D68" s="1"/>
      <c r="E68" s="1"/>
      <c r="F68" s="1"/>
    </row>
    <row r="69" spans="1:6" ht="49.95" customHeight="1">
      <c r="A69" s="2" t="s">
        <v>89</v>
      </c>
      <c r="B69" s="707" t="s">
        <v>90</v>
      </c>
      <c r="C69" s="705"/>
      <c r="D69" s="705"/>
      <c r="E69" s="705"/>
      <c r="F69" s="705"/>
    </row>
    <row r="70" spans="1:6" ht="40.049999999999997" customHeight="1">
      <c r="A70" s="2" t="s">
        <v>91</v>
      </c>
      <c r="B70" s="707" t="s">
        <v>92</v>
      </c>
      <c r="C70" s="705"/>
      <c r="D70" s="705"/>
      <c r="E70" s="705"/>
      <c r="F70" s="705"/>
    </row>
    <row r="71" spans="1:6" ht="40.049999999999997" customHeight="1">
      <c r="A71" s="2" t="s">
        <v>93</v>
      </c>
      <c r="B71" s="707" t="s">
        <v>94</v>
      </c>
      <c r="C71" s="705"/>
      <c r="D71" s="705"/>
      <c r="E71" s="705"/>
      <c r="F71" s="705"/>
    </row>
    <row r="72" spans="1:6">
      <c r="A72" s="2" t="s">
        <v>95</v>
      </c>
      <c r="B72" s="3" t="s">
        <v>7</v>
      </c>
      <c r="C72" s="1"/>
      <c r="D72" s="1"/>
      <c r="E72" s="1"/>
      <c r="F72" s="1"/>
    </row>
    <row r="73" spans="1:6">
      <c r="A73" s="1"/>
      <c r="B73" s="1"/>
      <c r="C73" s="1"/>
      <c r="D73" s="1"/>
      <c r="E73" s="1"/>
      <c r="F73" s="1"/>
    </row>
    <row r="74" spans="1:6" ht="30" customHeight="1">
      <c r="A74" s="704" t="s">
        <v>96</v>
      </c>
      <c r="B74" s="705"/>
      <c r="C74" s="705"/>
      <c r="D74" s="705"/>
      <c r="E74" s="705"/>
      <c r="F74" s="705"/>
    </row>
    <row r="75" spans="1:6">
      <c r="A75" s="7" t="s">
        <v>84</v>
      </c>
      <c r="B75" s="7" t="s">
        <v>97</v>
      </c>
      <c r="C75" s="1"/>
      <c r="D75" s="7" t="s">
        <v>98</v>
      </c>
      <c r="E75" s="7" t="s">
        <v>18</v>
      </c>
      <c r="F75" s="1"/>
    </row>
    <row r="76" spans="1:6" ht="40.049999999999997" customHeight="1">
      <c r="A76" s="6">
        <v>1</v>
      </c>
      <c r="B76" s="707" t="s">
        <v>99</v>
      </c>
      <c r="C76" s="705"/>
      <c r="D76" s="3" t="s">
        <v>100</v>
      </c>
      <c r="E76" s="3" t="s">
        <v>7</v>
      </c>
      <c r="F76" s="1"/>
    </row>
    <row r="77" spans="1:6" ht="40.049999999999997" customHeight="1">
      <c r="A77" s="6">
        <v>2</v>
      </c>
      <c r="B77" s="707" t="s">
        <v>99</v>
      </c>
      <c r="C77" s="705"/>
      <c r="D77" s="3" t="s">
        <v>100</v>
      </c>
      <c r="E77" s="3" t="s">
        <v>7</v>
      </c>
      <c r="F77" s="1"/>
    </row>
    <row r="78" spans="1:6" ht="40.049999999999997" customHeight="1">
      <c r="A78" s="6">
        <v>3</v>
      </c>
      <c r="B78" s="707" t="s">
        <v>99</v>
      </c>
      <c r="C78" s="705"/>
      <c r="D78" s="3" t="s">
        <v>100</v>
      </c>
      <c r="E78" s="3" t="s">
        <v>7</v>
      </c>
      <c r="F78" s="1"/>
    </row>
    <row r="79" spans="1:6" ht="40.049999999999997" customHeight="1">
      <c r="A79" s="6">
        <v>4</v>
      </c>
      <c r="B79" s="707" t="s">
        <v>99</v>
      </c>
      <c r="C79" s="705"/>
      <c r="D79" s="3" t="s">
        <v>100</v>
      </c>
      <c r="E79" s="3" t="s">
        <v>7</v>
      </c>
      <c r="F79" s="1"/>
    </row>
    <row r="80" spans="1:6" ht="40.049999999999997" customHeight="1">
      <c r="A80" s="6">
        <v>5</v>
      </c>
      <c r="B80" s="707" t="s">
        <v>99</v>
      </c>
      <c r="C80" s="705"/>
      <c r="D80" s="3" t="s">
        <v>100</v>
      </c>
      <c r="E80" s="3" t="s">
        <v>7</v>
      </c>
      <c r="F80" s="1"/>
    </row>
    <row r="81" spans="1:6" ht="40.049999999999997" customHeight="1">
      <c r="A81" s="6">
        <v>6</v>
      </c>
      <c r="B81" s="707" t="s">
        <v>99</v>
      </c>
      <c r="C81" s="705"/>
      <c r="D81" s="3" t="s">
        <v>100</v>
      </c>
      <c r="E81" s="3" t="s">
        <v>7</v>
      </c>
      <c r="F81" s="1"/>
    </row>
    <row r="82" spans="1:6">
      <c r="A82" s="1"/>
      <c r="B82" s="1"/>
      <c r="C82" s="1"/>
      <c r="D82" s="1"/>
      <c r="E82" s="1"/>
      <c r="F82" s="1"/>
    </row>
    <row r="83" spans="1:6" ht="30" customHeight="1">
      <c r="A83" s="704" t="s">
        <v>101</v>
      </c>
      <c r="B83" s="705"/>
      <c r="C83" s="705"/>
      <c r="D83" s="705"/>
      <c r="E83" s="705"/>
      <c r="F83" s="705"/>
    </row>
    <row r="84" spans="1:6">
      <c r="A84" s="2" t="s">
        <v>102</v>
      </c>
      <c r="B84" s="3" t="s">
        <v>7</v>
      </c>
      <c r="C84" s="3" t="s">
        <v>7</v>
      </c>
      <c r="D84" s="3" t="s">
        <v>7</v>
      </c>
      <c r="E84" s="1"/>
      <c r="F84" s="1"/>
    </row>
    <row r="85" spans="1:6">
      <c r="A85" s="2" t="s">
        <v>103</v>
      </c>
      <c r="B85" s="3" t="s">
        <v>7</v>
      </c>
      <c r="C85" s="3" t="s">
        <v>7</v>
      </c>
      <c r="D85" s="3" t="s">
        <v>7</v>
      </c>
      <c r="E85" s="1"/>
      <c r="F85" s="1"/>
    </row>
    <row r="86" spans="1:6">
      <c r="A86" s="2" t="s">
        <v>104</v>
      </c>
      <c r="B86" s="707" t="s">
        <v>105</v>
      </c>
      <c r="C86" s="705"/>
      <c r="D86" s="705"/>
      <c r="E86" s="705"/>
      <c r="F86" s="705"/>
    </row>
    <row r="87" spans="1:6">
      <c r="A87" s="2" t="s">
        <v>106</v>
      </c>
      <c r="B87" s="707" t="s">
        <v>105</v>
      </c>
      <c r="C87" s="705"/>
      <c r="D87" s="705"/>
      <c r="E87" s="705"/>
      <c r="F87" s="705"/>
    </row>
    <row r="88" spans="1:6">
      <c r="A88" s="1"/>
      <c r="B88" s="1"/>
      <c r="C88" s="1"/>
      <c r="D88" s="1"/>
      <c r="E88" s="1"/>
      <c r="F88" s="1"/>
    </row>
    <row r="89" spans="1:6" ht="30" customHeight="1">
      <c r="A89" s="704" t="s">
        <v>107</v>
      </c>
      <c r="B89" s="705"/>
      <c r="C89" s="705"/>
      <c r="D89" s="705"/>
      <c r="E89" s="705"/>
      <c r="F89" s="705"/>
    </row>
    <row r="90" spans="1:6">
      <c r="A90" s="2" t="s">
        <v>108</v>
      </c>
      <c r="B90" s="709" t="s">
        <v>109</v>
      </c>
      <c r="C90" s="710"/>
      <c r="D90" s="711"/>
      <c r="E90" s="3" t="s">
        <v>7</v>
      </c>
      <c r="F90" s="1"/>
    </row>
    <row r="91" spans="1:6">
      <c r="A91" s="2" t="s">
        <v>110</v>
      </c>
      <c r="B91" s="709" t="s">
        <v>111</v>
      </c>
      <c r="C91" s="710"/>
      <c r="D91" s="711"/>
      <c r="E91" s="3" t="s">
        <v>7</v>
      </c>
      <c r="F91" s="1"/>
    </row>
    <row r="92" spans="1:6">
      <c r="A92" s="2" t="s">
        <v>112</v>
      </c>
      <c r="B92" s="709" t="s">
        <v>113</v>
      </c>
      <c r="C92" s="710"/>
      <c r="D92" s="711"/>
      <c r="E92" s="3" t="s">
        <v>7</v>
      </c>
      <c r="F92" s="1"/>
    </row>
    <row r="93" spans="1:6">
      <c r="A93" s="1"/>
      <c r="B93" s="1"/>
      <c r="C93" s="1"/>
      <c r="D93" s="1"/>
      <c r="E93" s="1"/>
      <c r="F93" s="1"/>
    </row>
    <row r="94" spans="1:6" ht="30" customHeight="1">
      <c r="A94" s="704" t="s">
        <v>114</v>
      </c>
      <c r="B94" s="705"/>
      <c r="C94" s="705"/>
      <c r="D94" s="705"/>
      <c r="E94" s="705"/>
      <c r="F94" s="705"/>
    </row>
    <row r="95" spans="1:6">
      <c r="A95" s="706" t="s">
        <v>115</v>
      </c>
      <c r="B95" s="705"/>
      <c r="C95" s="705"/>
      <c r="D95" s="705"/>
      <c r="E95" s="705"/>
      <c r="F95" s="705"/>
    </row>
    <row r="96" spans="1:6">
      <c r="A96" s="706" t="s">
        <v>116</v>
      </c>
      <c r="B96" s="705"/>
      <c r="C96" s="705"/>
      <c r="D96" s="705"/>
      <c r="E96" s="705"/>
      <c r="F96" s="705"/>
    </row>
    <row r="97" spans="1:6">
      <c r="A97" s="706" t="s">
        <v>117</v>
      </c>
      <c r="B97" s="705"/>
      <c r="C97" s="705"/>
      <c r="D97" s="705"/>
      <c r="E97" s="705"/>
      <c r="F97" s="705"/>
    </row>
    <row r="98" spans="1:6">
      <c r="A98" s="706" t="s">
        <v>118</v>
      </c>
      <c r="B98" s="705"/>
      <c r="C98" s="705"/>
      <c r="D98" s="705"/>
      <c r="E98" s="705"/>
      <c r="F98" s="705"/>
    </row>
    <row r="99" spans="1:6">
      <c r="A99" s="706" t="s">
        <v>119</v>
      </c>
      <c r="B99" s="705"/>
      <c r="C99" s="705"/>
      <c r="D99" s="705"/>
      <c r="E99" s="705"/>
      <c r="F99" s="705"/>
    </row>
    <row r="100" spans="1:6">
      <c r="A100" s="1"/>
      <c r="B100" s="1"/>
      <c r="C100" s="1"/>
      <c r="D100" s="1"/>
      <c r="E100" s="1"/>
      <c r="F100" s="1"/>
    </row>
    <row r="101" spans="1:6">
      <c r="A101" s="1"/>
      <c r="B101" s="1"/>
      <c r="C101" s="1"/>
      <c r="D101" s="1"/>
      <c r="E101" s="1"/>
      <c r="F101" s="1"/>
    </row>
    <row r="102" spans="1:6">
      <c r="A102" s="1"/>
      <c r="B102" s="1"/>
      <c r="C102" s="1"/>
      <c r="D102" s="1"/>
      <c r="E102" s="1"/>
      <c r="F102" s="1"/>
    </row>
    <row r="103" spans="1:6">
      <c r="A103" s="1"/>
      <c r="B103" s="1"/>
      <c r="C103" s="1"/>
      <c r="D103" s="1"/>
      <c r="E103" s="1"/>
      <c r="F103" s="1"/>
    </row>
    <row r="104" spans="1:6">
      <c r="A104" s="1"/>
      <c r="B104" s="1"/>
      <c r="C104" s="1"/>
      <c r="D104" s="1"/>
      <c r="E104" s="1"/>
      <c r="F104" s="1"/>
    </row>
    <row r="105" spans="1:6">
      <c r="A105" s="1"/>
      <c r="B105" s="1"/>
      <c r="C105" s="1"/>
      <c r="D105" s="1"/>
      <c r="E105" s="1"/>
      <c r="F105" s="1"/>
    </row>
    <row r="106" spans="1:6">
      <c r="A106" s="1"/>
      <c r="B106" s="1"/>
      <c r="C106" s="1"/>
      <c r="D106" s="1"/>
      <c r="E106" s="1"/>
      <c r="F106" s="1"/>
    </row>
    <row r="107" spans="1:6">
      <c r="A107" s="1"/>
      <c r="B107" s="1"/>
      <c r="C107" s="1"/>
      <c r="D107" s="1"/>
      <c r="E107" s="1"/>
      <c r="F107" s="1"/>
    </row>
    <row r="108" spans="1:6">
      <c r="A108" s="1"/>
      <c r="B108" s="1"/>
      <c r="C108" s="1"/>
      <c r="D108" s="1"/>
      <c r="E108" s="1"/>
      <c r="F108" s="1"/>
    </row>
    <row r="109" spans="1:6">
      <c r="A109" s="1"/>
      <c r="B109" s="1"/>
      <c r="C109" s="1"/>
      <c r="D109" s="1"/>
      <c r="E109" s="1"/>
      <c r="F109" s="1"/>
    </row>
    <row r="110" spans="1:6">
      <c r="A110" s="1"/>
      <c r="B110" s="1"/>
      <c r="C110" s="1"/>
      <c r="D110" s="1"/>
      <c r="E110" s="1"/>
      <c r="F110" s="1"/>
    </row>
    <row r="111" spans="1:6">
      <c r="A111" s="1"/>
      <c r="B111" s="1"/>
      <c r="C111" s="1"/>
      <c r="D111" s="1"/>
      <c r="E111" s="1"/>
      <c r="F111" s="1"/>
    </row>
    <row r="112" spans="1:6">
      <c r="A112" s="1"/>
      <c r="B112" s="1"/>
      <c r="C112" s="1"/>
      <c r="D112" s="1"/>
      <c r="E112" s="1"/>
      <c r="F112" s="1"/>
    </row>
    <row r="113" spans="1:6">
      <c r="A113" s="1"/>
      <c r="B113" s="1"/>
      <c r="C113" s="1"/>
      <c r="D113" s="1"/>
      <c r="E113" s="1"/>
      <c r="F113" s="1"/>
    </row>
    <row r="114" spans="1:6">
      <c r="A114" s="1"/>
      <c r="B114" s="1"/>
      <c r="C114" s="1"/>
      <c r="D114" s="1"/>
      <c r="E114" s="1"/>
      <c r="F114" s="1"/>
    </row>
    <row r="115" spans="1:6">
      <c r="A115" s="1"/>
      <c r="B115" s="1"/>
      <c r="C115" s="1"/>
      <c r="D115" s="1"/>
      <c r="E115" s="1"/>
      <c r="F115" s="1"/>
    </row>
    <row r="116" spans="1:6">
      <c r="A116" s="1"/>
      <c r="B116" s="1"/>
      <c r="C116" s="1"/>
      <c r="D116" s="1"/>
      <c r="E116" s="1"/>
      <c r="F116" s="1"/>
    </row>
    <row r="117" spans="1:6">
      <c r="A117" s="1"/>
      <c r="B117" s="1"/>
      <c r="C117" s="1"/>
      <c r="D117" s="1"/>
      <c r="E117" s="1"/>
      <c r="F117" s="1"/>
    </row>
    <row r="118" spans="1:6">
      <c r="A118" s="1"/>
      <c r="B118" s="1"/>
      <c r="C118" s="1"/>
      <c r="D118" s="1"/>
      <c r="E118" s="1"/>
      <c r="F118" s="1"/>
    </row>
    <row r="119" spans="1:6">
      <c r="A119" s="1"/>
      <c r="B119" s="1"/>
      <c r="C119" s="1"/>
      <c r="D119" s="1"/>
      <c r="E119" s="1"/>
      <c r="F119" s="1"/>
    </row>
  </sheetData>
  <mergeCells count="65">
    <mergeCell ref="A98:F98"/>
    <mergeCell ref="B24:F24"/>
    <mergeCell ref="D31:F31"/>
    <mergeCell ref="A1:F1"/>
    <mergeCell ref="B76:C76"/>
    <mergeCell ref="B80:C80"/>
    <mergeCell ref="A94:F94"/>
    <mergeCell ref="B45:F45"/>
    <mergeCell ref="B79:C79"/>
    <mergeCell ref="B26:F26"/>
    <mergeCell ref="B41:F41"/>
    <mergeCell ref="D57:F57"/>
    <mergeCell ref="B35:F35"/>
    <mergeCell ref="A28:F28"/>
    <mergeCell ref="B69:F69"/>
    <mergeCell ref="B38:F38"/>
    <mergeCell ref="A19:F19"/>
    <mergeCell ref="B34:F34"/>
    <mergeCell ref="D54:F54"/>
    <mergeCell ref="B40:F40"/>
    <mergeCell ref="A59:F59"/>
    <mergeCell ref="B49:F49"/>
    <mergeCell ref="A51:F51"/>
    <mergeCell ref="A29:F29"/>
    <mergeCell ref="D55:F55"/>
    <mergeCell ref="A43:F43"/>
    <mergeCell ref="B44:F44"/>
    <mergeCell ref="A96:F96"/>
    <mergeCell ref="B78:C78"/>
    <mergeCell ref="B87:F87"/>
    <mergeCell ref="A83:F83"/>
    <mergeCell ref="B91:D91"/>
    <mergeCell ref="B90:D90"/>
    <mergeCell ref="A2:F2"/>
    <mergeCell ref="B70:F70"/>
    <mergeCell ref="B77:C77"/>
    <mergeCell ref="B39:F39"/>
    <mergeCell ref="A95:F95"/>
    <mergeCell ref="B48:F48"/>
    <mergeCell ref="B86:F86"/>
    <mergeCell ref="B42:F42"/>
    <mergeCell ref="D56:F56"/>
    <mergeCell ref="B92:D92"/>
    <mergeCell ref="B23:F23"/>
    <mergeCell ref="A4:F4"/>
    <mergeCell ref="D30:F30"/>
    <mergeCell ref="A20:F20"/>
    <mergeCell ref="A53:F53"/>
    <mergeCell ref="B17:F17"/>
    <mergeCell ref="A16:F16"/>
    <mergeCell ref="A99:F99"/>
    <mergeCell ref="B47:F47"/>
    <mergeCell ref="B25:F25"/>
    <mergeCell ref="D32:F32"/>
    <mergeCell ref="A37:F37"/>
    <mergeCell ref="B81:C81"/>
    <mergeCell ref="A89:F89"/>
    <mergeCell ref="A74:F74"/>
    <mergeCell ref="B46:F46"/>
    <mergeCell ref="B22:F22"/>
    <mergeCell ref="B71:F71"/>
    <mergeCell ref="B52:F52"/>
    <mergeCell ref="B21:F21"/>
    <mergeCell ref="A97:F97"/>
    <mergeCell ref="D33:F33"/>
  </mergeCells>
  <pageMargins left="0.75" right="0.75" top="1" bottom="1" header="0.5" footer="0.5"/>
  <extLst>
    <ext xmlns:x14="http://schemas.microsoft.com/office/spreadsheetml/2009/9/main" uri="{CCE6A557-97BC-4b89-ADB6-D9C93CAAB3DF}">
      <x14:dataValidations xmlns:xm="http://schemas.microsoft.com/office/excel/2006/main" count="14">
        <x14:dataValidation type="list" allowBlank="1" showInputMessage="1" promptTitle="Options" prompt="Click to select" xr:uid="{00000000-0002-0000-0000-000000000000}">
          <x14:formula1>
            <xm:f>DROPDOWNS!$K$2:$K$4</xm:f>
          </x14:formula1>
          <xm:sqref>B7</xm:sqref>
        </x14:dataValidation>
        <x14:dataValidation type="list" allowBlank="1" showInputMessage="1" promptTitle="Options" prompt="Click to select" xr:uid="{00000000-0002-0000-0000-000001000000}">
          <x14:formula1>
            <xm:f>DROPDOWNS!$L$2:$L$7</xm:f>
          </x14:formula1>
          <xm:sqref>B8</xm:sqref>
        </x14:dataValidation>
        <x14:dataValidation type="list" allowBlank="1" showInputMessage="1" promptTitle="Options" prompt="Click to select" xr:uid="{00000000-0002-0000-0000-000002000000}">
          <x14:formula1>
            <xm:f>DROPDOWNS!$M$2:$M$6</xm:f>
          </x14:formula1>
          <xm:sqref>B9</xm:sqref>
        </x14:dataValidation>
        <x14:dataValidation type="list" allowBlank="1" showInputMessage="1" promptTitle="Options" prompt="Click to select" xr:uid="{00000000-0002-0000-0000-000003000000}">
          <x14:formula1>
            <xm:f>DROPDOWNS!$A$2:$A$13</xm:f>
          </x14:formula1>
          <xm:sqref>B30</xm:sqref>
        </x14:dataValidation>
        <x14:dataValidation type="list" allowBlank="1" showInputMessage="1" promptTitle="Options" prompt="Click to select" xr:uid="{00000000-0002-0000-0000-000004000000}">
          <x14:formula1>
            <xm:f>DROPDOWNS!$B$2:$B$7</xm:f>
          </x14:formula1>
          <xm:sqref>B31</xm:sqref>
        </x14:dataValidation>
        <x14:dataValidation type="list" allowBlank="1" showInputMessage="1" promptTitle="Options" prompt="Click to select" xr:uid="{00000000-0002-0000-0000-000005000000}">
          <x14:formula1>
            <xm:f>DROPDOWNS!$C$2:$C$8</xm:f>
          </x14:formula1>
          <xm:sqref>B32</xm:sqref>
        </x14:dataValidation>
        <x14:dataValidation type="list" allowBlank="1" showInputMessage="1" promptTitle="Options" prompt="Click to select" xr:uid="{00000000-0002-0000-0000-000006000000}">
          <x14:formula1>
            <xm:f>DROPDOWNS!$D$2:$D$6</xm:f>
          </x14:formula1>
          <xm:sqref>B33</xm:sqref>
        </x14:dataValidation>
        <x14:dataValidation type="list" allowBlank="1" showInputMessage="1" promptTitle="Options" prompt="Click to select" xr:uid="{00000000-0002-0000-0000-000007000000}">
          <x14:formula1>
            <xm:f>DROPDOWNS!$G$2:$G$12</xm:f>
          </x14:formula1>
          <xm:sqref>B54:B57</xm:sqref>
        </x14:dataValidation>
        <x14:dataValidation type="list" allowBlank="1" showInputMessage="1" promptTitle="Options" prompt="Click to select" xr:uid="{00000000-0002-0000-0000-00000B000000}">
          <x14:formula1>
            <xm:f>DROPDOWNS!$H$2:$H$13</xm:f>
          </x14:formula1>
          <xm:sqref>B61:B67</xm:sqref>
        </x14:dataValidation>
        <x14:dataValidation type="list" allowBlank="1" showInputMessage="1" promptTitle="Options" prompt="Click to select" xr:uid="{00000000-0002-0000-0000-000012000000}">
          <x14:formula1>
            <xm:f>DROPDOWNS!$R$2:$R$10</xm:f>
          </x14:formula1>
          <xm:sqref>B72</xm:sqref>
        </x14:dataValidation>
        <x14:dataValidation type="list" allowBlank="1" showInputMessage="1" promptTitle="Options" prompt="Click to select" xr:uid="{00000000-0002-0000-0000-000013000000}">
          <x14:formula1>
            <xm:f>DROPDOWNS!$I$2:$I$7</xm:f>
          </x14:formula1>
          <xm:sqref>E76:E81</xm:sqref>
        </x14:dataValidation>
        <x14:dataValidation type="list" allowBlank="1" showInputMessage="1" promptTitle="Options" prompt="Click to select" xr:uid="{00000000-0002-0000-0000-000019000000}">
          <x14:formula1>
            <xm:f>DROPDOWNS!$E$2:$E$11</xm:f>
          </x14:formula1>
          <xm:sqref>B84:D84</xm:sqref>
        </x14:dataValidation>
        <x14:dataValidation type="list" allowBlank="1" showInputMessage="1" promptTitle="Options" prompt="Click to select" xr:uid="{00000000-0002-0000-0000-00001C000000}">
          <x14:formula1>
            <xm:f>DROPDOWNS!$F$2:$F$11</xm:f>
          </x14:formula1>
          <xm:sqref>B85:D85</xm:sqref>
        </x14:dataValidation>
        <x14:dataValidation type="list" allowBlank="1" showInputMessage="1" promptTitle="Options" prompt="Click to select" xr:uid="{00000000-0002-0000-0000-00001F000000}">
          <x14:formula1>
            <xm:f>DROPDOWNS!$J$2:$J$5</xm:f>
          </x14:formula1>
          <xm:sqref>E90:E92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H16"/>
  <sheetViews>
    <sheetView workbookViewId="0"/>
  </sheetViews>
  <sheetFormatPr defaultRowHeight="14.4"/>
  <sheetData>
    <row r="1" spans="1:112">
      <c r="A1" s="8" t="s">
        <v>39</v>
      </c>
      <c r="B1" s="8" t="s">
        <v>42</v>
      </c>
      <c r="C1" s="8" t="s">
        <v>43</v>
      </c>
      <c r="D1" s="8" t="s">
        <v>44</v>
      </c>
      <c r="E1" s="8" t="s">
        <v>120</v>
      </c>
      <c r="F1" s="8" t="s">
        <v>121</v>
      </c>
      <c r="G1" s="8" t="s">
        <v>122</v>
      </c>
      <c r="H1" s="8" t="s">
        <v>123</v>
      </c>
      <c r="I1" s="8" t="s">
        <v>124</v>
      </c>
      <c r="J1" s="8" t="s">
        <v>125</v>
      </c>
      <c r="K1" s="8" t="s">
        <v>6</v>
      </c>
      <c r="L1" s="8" t="s">
        <v>8</v>
      </c>
      <c r="M1" s="8" t="s">
        <v>9</v>
      </c>
      <c r="N1" s="8" t="s">
        <v>126</v>
      </c>
      <c r="O1" s="8" t="s">
        <v>127</v>
      </c>
      <c r="P1" s="8" t="s">
        <v>128</v>
      </c>
      <c r="Q1" s="8" t="s">
        <v>129</v>
      </c>
      <c r="R1" s="8" t="s">
        <v>95</v>
      </c>
      <c r="S1" s="8" t="s">
        <v>372</v>
      </c>
      <c r="T1" s="8" t="s">
        <v>375</v>
      </c>
      <c r="U1" s="8" t="s">
        <v>618</v>
      </c>
      <c r="V1" s="8" t="s">
        <v>644</v>
      </c>
      <c r="W1" s="8" t="s">
        <v>620</v>
      </c>
      <c r="X1" s="8" t="s">
        <v>685</v>
      </c>
      <c r="Y1" s="8" t="s">
        <v>561</v>
      </c>
      <c r="Z1" s="8" t="s">
        <v>686</v>
      </c>
      <c r="AA1" s="8" t="s">
        <v>692</v>
      </c>
      <c r="AB1" s="8" t="s">
        <v>698</v>
      </c>
      <c r="AC1" s="8" t="s">
        <v>704</v>
      </c>
      <c r="AD1" s="8" t="s">
        <v>713</v>
      </c>
      <c r="AE1" s="8" t="s">
        <v>717</v>
      </c>
      <c r="AF1" s="8" t="s">
        <v>724</v>
      </c>
      <c r="AG1" s="8" t="s">
        <v>731</v>
      </c>
      <c r="AH1" s="8" t="s">
        <v>736</v>
      </c>
      <c r="AI1" s="8" t="s">
        <v>751</v>
      </c>
      <c r="AJ1" s="8" t="s">
        <v>757</v>
      </c>
      <c r="AK1" s="8" t="s">
        <v>763</v>
      </c>
      <c r="AL1" s="8" t="s">
        <v>906</v>
      </c>
      <c r="AM1" s="8" t="s">
        <v>908</v>
      </c>
      <c r="AN1" s="8" t="s">
        <v>910</v>
      </c>
      <c r="AO1" s="8" t="s">
        <v>915</v>
      </c>
      <c r="AP1" s="8" t="s">
        <v>922</v>
      </c>
      <c r="AQ1" s="8" t="s">
        <v>929</v>
      </c>
      <c r="AR1" s="8" t="s">
        <v>933</v>
      </c>
      <c r="AS1" s="8" t="s">
        <v>583</v>
      </c>
      <c r="AT1" s="8" t="s">
        <v>944</v>
      </c>
      <c r="AU1" s="8" t="s">
        <v>953</v>
      </c>
      <c r="AV1" s="8" t="s">
        <v>959</v>
      </c>
      <c r="AW1" s="8" t="s">
        <v>963</v>
      </c>
      <c r="AX1" s="8" t="s">
        <v>968</v>
      </c>
      <c r="AY1" s="8" t="s">
        <v>974</v>
      </c>
      <c r="AZ1" s="8" t="s">
        <v>979</v>
      </c>
      <c r="BA1" s="8" t="s">
        <v>983</v>
      </c>
      <c r="BB1" s="8" t="s">
        <v>988</v>
      </c>
      <c r="BC1" s="8" t="s">
        <v>992</v>
      </c>
      <c r="BD1" s="8" t="s">
        <v>999</v>
      </c>
      <c r="BE1" s="8" t="s">
        <v>1003</v>
      </c>
      <c r="BF1" s="8" t="s">
        <v>1006</v>
      </c>
      <c r="BG1" s="8" t="s">
        <v>1009</v>
      </c>
      <c r="BH1" s="8" t="s">
        <v>1013</v>
      </c>
      <c r="BI1" s="8" t="s">
        <v>1019</v>
      </c>
      <c r="BJ1" s="8" t="s">
        <v>1024</v>
      </c>
      <c r="BK1" s="8" t="s">
        <v>1028</v>
      </c>
      <c r="BL1" s="8" t="s">
        <v>1032</v>
      </c>
      <c r="BM1" s="8" t="s">
        <v>1037</v>
      </c>
      <c r="BN1" s="8" t="s">
        <v>1851</v>
      </c>
      <c r="BO1" s="8" t="s">
        <v>1856</v>
      </c>
      <c r="BP1" s="8" t="s">
        <v>1862</v>
      </c>
      <c r="BQ1" s="8" t="s">
        <v>1749</v>
      </c>
      <c r="BR1" s="386" t="s">
        <v>3149</v>
      </c>
      <c r="BS1" s="386" t="s">
        <v>3156</v>
      </c>
      <c r="BT1" s="386" t="s">
        <v>3164</v>
      </c>
      <c r="BU1" s="386" t="s">
        <v>3171</v>
      </c>
      <c r="BV1" s="386" t="s">
        <v>3178</v>
      </c>
      <c r="BW1" s="386" t="s">
        <v>3188</v>
      </c>
      <c r="BX1" s="386" t="s">
        <v>2795</v>
      </c>
      <c r="BY1" s="386" t="s">
        <v>2796</v>
      </c>
      <c r="BZ1" s="386" t="s">
        <v>2797</v>
      </c>
      <c r="CA1" s="386" t="s">
        <v>2798</v>
      </c>
      <c r="CB1" s="386" t="s">
        <v>2799</v>
      </c>
      <c r="CC1" s="386" t="s">
        <v>2800</v>
      </c>
      <c r="CD1" s="386" t="s">
        <v>2801</v>
      </c>
      <c r="CE1" s="386" t="s">
        <v>2802</v>
      </c>
      <c r="CF1" s="470" t="s">
        <v>2868</v>
      </c>
      <c r="CG1" s="470" t="s">
        <v>2869</v>
      </c>
      <c r="CH1" s="470" t="s">
        <v>2870</v>
      </c>
      <c r="CI1" s="470" t="s">
        <v>2871</v>
      </c>
      <c r="CJ1" s="470" t="s">
        <v>2872</v>
      </c>
      <c r="CK1" s="470" t="s">
        <v>2873</v>
      </c>
      <c r="CL1" s="478" t="s">
        <v>3094</v>
      </c>
      <c r="CM1" s="478" t="s">
        <v>3095</v>
      </c>
      <c r="CN1" s="478" t="s">
        <v>3096</v>
      </c>
      <c r="CO1" s="478" t="s">
        <v>3097</v>
      </c>
      <c r="CP1" s="478" t="s">
        <v>3098</v>
      </c>
      <c r="CQ1" s="478" t="s">
        <v>3099</v>
      </c>
      <c r="CR1" s="478" t="s">
        <v>3100</v>
      </c>
      <c r="CS1" s="478" t="s">
        <v>1151</v>
      </c>
      <c r="CT1" s="479" t="s">
        <v>3196</v>
      </c>
      <c r="CU1" s="479" t="s">
        <v>3197</v>
      </c>
      <c r="CV1" s="479" t="s">
        <v>3198</v>
      </c>
      <c r="CW1" s="479" t="s">
        <v>3199</v>
      </c>
      <c r="CX1" s="479" t="s">
        <v>3200</v>
      </c>
      <c r="CY1" s="479" t="s">
        <v>3201</v>
      </c>
      <c r="CZ1" s="479" t="s">
        <v>3556</v>
      </c>
      <c r="DA1" s="479" t="s">
        <v>988</v>
      </c>
      <c r="DB1" s="479" t="s">
        <v>3563</v>
      </c>
      <c r="DC1" s="479" t="s">
        <v>3572</v>
      </c>
      <c r="DD1" s="479" t="s">
        <v>3580</v>
      </c>
      <c r="DE1" s="479" t="s">
        <v>3587</v>
      </c>
      <c r="DF1" s="479" t="s">
        <v>3595</v>
      </c>
      <c r="DG1" s="479" t="s">
        <v>3602</v>
      </c>
      <c r="DH1" s="479" t="s">
        <v>3607</v>
      </c>
    </row>
    <row r="2" spans="1:112">
      <c r="A2" s="8" t="s">
        <v>130</v>
      </c>
      <c r="B2" s="8" t="s">
        <v>131</v>
      </c>
      <c r="C2" s="8" t="s">
        <v>132</v>
      </c>
      <c r="D2" s="8" t="s">
        <v>133</v>
      </c>
      <c r="E2" s="8" t="s">
        <v>134</v>
      </c>
      <c r="F2" s="8" t="s">
        <v>135</v>
      </c>
      <c r="G2" s="8" t="s">
        <v>136</v>
      </c>
      <c r="H2" s="8" t="s">
        <v>137</v>
      </c>
      <c r="I2" s="8" t="s">
        <v>138</v>
      </c>
      <c r="J2" s="8" t="s">
        <v>139</v>
      </c>
      <c r="K2" s="8" t="s">
        <v>140</v>
      </c>
      <c r="L2" s="8" t="s">
        <v>141</v>
      </c>
      <c r="M2" s="8" t="s">
        <v>142</v>
      </c>
      <c r="N2" s="8" t="s">
        <v>143</v>
      </c>
      <c r="O2" s="8" t="s">
        <v>144</v>
      </c>
      <c r="P2" s="8" t="s">
        <v>145</v>
      </c>
      <c r="Q2" s="8" t="s">
        <v>146</v>
      </c>
      <c r="R2" s="8" t="s">
        <v>147</v>
      </c>
      <c r="S2" s="8" t="s">
        <v>373</v>
      </c>
      <c r="T2" s="8" t="s">
        <v>376</v>
      </c>
      <c r="U2" s="31" t="s">
        <v>645</v>
      </c>
      <c r="V2" s="31" t="s">
        <v>654</v>
      </c>
      <c r="W2" s="31" t="s">
        <v>659</v>
      </c>
      <c r="X2" s="31" t="s">
        <v>670</v>
      </c>
      <c r="Y2" s="31" t="s">
        <v>679</v>
      </c>
      <c r="Z2" s="31" t="s">
        <v>687</v>
      </c>
      <c r="AA2" s="31" t="s">
        <v>687</v>
      </c>
      <c r="AB2" s="31" t="s">
        <v>699</v>
      </c>
      <c r="AC2" s="31" t="s">
        <v>705</v>
      </c>
      <c r="AD2" s="31" t="s">
        <v>714</v>
      </c>
      <c r="AE2" s="31" t="s">
        <v>718</v>
      </c>
      <c r="AF2" s="31" t="s">
        <v>725</v>
      </c>
      <c r="AG2" s="31" t="s">
        <v>732</v>
      </c>
      <c r="AH2" s="31" t="s">
        <v>737</v>
      </c>
      <c r="AI2" s="31" t="s">
        <v>752</v>
      </c>
      <c r="AJ2" s="31" t="s">
        <v>758</v>
      </c>
      <c r="AK2" s="31" t="s">
        <v>764</v>
      </c>
      <c r="AL2" s="31" t="s">
        <v>670</v>
      </c>
      <c r="AM2" s="31" t="s">
        <v>650</v>
      </c>
      <c r="AN2" s="31" t="s">
        <v>911</v>
      </c>
      <c r="AO2" s="31" t="s">
        <v>916</v>
      </c>
      <c r="AP2" s="31" t="s">
        <v>923</v>
      </c>
      <c r="AQ2" s="31" t="s">
        <v>647</v>
      </c>
      <c r="AR2" s="31" t="s">
        <v>647</v>
      </c>
      <c r="AS2" s="31" t="s">
        <v>936</v>
      </c>
      <c r="AT2" s="31" t="s">
        <v>405</v>
      </c>
      <c r="AU2" s="31" t="s">
        <v>954</v>
      </c>
      <c r="AV2" s="31" t="s">
        <v>706</v>
      </c>
      <c r="AW2" s="31" t="s">
        <v>964</v>
      </c>
      <c r="AX2" s="31" t="s">
        <v>969</v>
      </c>
      <c r="AY2" s="31" t="s">
        <v>975</v>
      </c>
      <c r="AZ2" s="31" t="s">
        <v>980</v>
      </c>
      <c r="BA2" s="31" t="s">
        <v>984</v>
      </c>
      <c r="BB2" s="31" t="s">
        <v>989</v>
      </c>
      <c r="BC2" s="31" t="s">
        <v>993</v>
      </c>
      <c r="BD2" s="31" t="s">
        <v>1000</v>
      </c>
      <c r="BE2" s="31" t="s">
        <v>699</v>
      </c>
      <c r="BF2" s="31" t="s">
        <v>1007</v>
      </c>
      <c r="BG2" s="31" t="s">
        <v>1010</v>
      </c>
      <c r="BH2" s="31" t="s">
        <v>1014</v>
      </c>
      <c r="BI2" s="31" t="s">
        <v>1020</v>
      </c>
      <c r="BJ2" s="31" t="s">
        <v>1025</v>
      </c>
      <c r="BK2" s="31" t="s">
        <v>1029</v>
      </c>
      <c r="BL2" s="31" t="s">
        <v>1033</v>
      </c>
      <c r="BM2" s="31" t="s">
        <v>1038</v>
      </c>
      <c r="BN2" s="31" t="s">
        <v>1852</v>
      </c>
      <c r="BO2" s="31" t="s">
        <v>1857</v>
      </c>
      <c r="BP2" s="31" t="s">
        <v>936</v>
      </c>
      <c r="BQ2" s="31" t="s">
        <v>1755</v>
      </c>
      <c r="BR2" s="31" t="s">
        <v>3150</v>
      </c>
      <c r="BS2" s="31" t="s">
        <v>3157</v>
      </c>
      <c r="BT2" s="31" t="s">
        <v>3165</v>
      </c>
      <c r="BU2" s="31" t="s">
        <v>3172</v>
      </c>
      <c r="BV2" s="31" t="s">
        <v>3179</v>
      </c>
      <c r="BW2" s="31" t="s">
        <v>3189</v>
      </c>
      <c r="BX2" s="31" t="s">
        <v>2601</v>
      </c>
      <c r="BY2" s="31" t="s">
        <v>2606</v>
      </c>
      <c r="BZ2" s="31" t="s">
        <v>2815</v>
      </c>
      <c r="CA2" s="31" t="s">
        <v>2673</v>
      </c>
      <c r="CB2" s="31" t="s">
        <v>2625</v>
      </c>
      <c r="CC2" s="31" t="s">
        <v>2630</v>
      </c>
      <c r="CD2" s="31" t="s">
        <v>2635</v>
      </c>
      <c r="CE2" s="31" t="s">
        <v>2831</v>
      </c>
      <c r="CF2" s="31" t="s">
        <v>2874</v>
      </c>
      <c r="CG2" s="31" t="s">
        <v>2878</v>
      </c>
      <c r="CH2" s="31" t="s">
        <v>2884</v>
      </c>
      <c r="CI2" s="31" t="s">
        <v>2889</v>
      </c>
      <c r="CJ2" s="31" t="s">
        <v>2896</v>
      </c>
      <c r="CK2" s="31" t="s">
        <v>2902</v>
      </c>
      <c r="CL2" s="31" t="s">
        <v>2926</v>
      </c>
      <c r="CM2" s="31" t="s">
        <v>3104</v>
      </c>
      <c r="CN2" s="31" t="s">
        <v>3113</v>
      </c>
      <c r="CO2" s="31" t="s">
        <v>2941</v>
      </c>
      <c r="CP2" s="31" t="s">
        <v>3123</v>
      </c>
      <c r="CQ2" s="31" t="s">
        <v>3129</v>
      </c>
      <c r="CR2" s="31" t="s">
        <v>3133</v>
      </c>
      <c r="CS2" s="31" t="s">
        <v>3137</v>
      </c>
      <c r="CT2" s="480" t="s">
        <v>1900</v>
      </c>
      <c r="CU2" s="480" t="s">
        <v>1933</v>
      </c>
      <c r="CV2" s="480" t="s">
        <v>1965</v>
      </c>
      <c r="CW2" s="480" t="s">
        <v>1994</v>
      </c>
      <c r="CX2" s="480" t="s">
        <v>2020</v>
      </c>
      <c r="CY2" s="480" t="s">
        <v>2056</v>
      </c>
      <c r="CZ2" s="480" t="s">
        <v>2268</v>
      </c>
      <c r="DA2" s="480" t="s">
        <v>3557</v>
      </c>
      <c r="DB2" s="480" t="s">
        <v>3564</v>
      </c>
      <c r="DC2" s="480" t="s">
        <v>3573</v>
      </c>
      <c r="DD2" s="480" t="s">
        <v>3581</v>
      </c>
      <c r="DE2" s="480" t="s">
        <v>3588</v>
      </c>
      <c r="DF2" s="480" t="s">
        <v>3596</v>
      </c>
      <c r="DG2" s="480" t="s">
        <v>3603</v>
      </c>
      <c r="DH2" s="480" t="s">
        <v>3463</v>
      </c>
    </row>
    <row r="3" spans="1:112">
      <c r="A3" s="8" t="s">
        <v>148</v>
      </c>
      <c r="B3" s="8" t="s">
        <v>149</v>
      </c>
      <c r="C3" s="8" t="s">
        <v>150</v>
      </c>
      <c r="D3" s="8" t="s">
        <v>151</v>
      </c>
      <c r="E3" s="8" t="s">
        <v>152</v>
      </c>
      <c r="F3" s="8" t="s">
        <v>153</v>
      </c>
      <c r="G3" s="8" t="s">
        <v>154</v>
      </c>
      <c r="H3" s="8" t="s">
        <v>155</v>
      </c>
      <c r="I3" s="8" t="s">
        <v>156</v>
      </c>
      <c r="J3" s="8" t="s">
        <v>157</v>
      </c>
      <c r="K3" s="8" t="s">
        <v>158</v>
      </c>
      <c r="L3" s="8" t="s">
        <v>159</v>
      </c>
      <c r="M3" s="8" t="s">
        <v>160</v>
      </c>
      <c r="N3" s="8" t="s">
        <v>161</v>
      </c>
      <c r="O3" s="8" t="s">
        <v>162</v>
      </c>
      <c r="P3" s="8" t="s">
        <v>163</v>
      </c>
      <c r="Q3" s="8" t="s">
        <v>164</v>
      </c>
      <c r="R3" s="8" t="s">
        <v>165</v>
      </c>
      <c r="S3" s="8" t="s">
        <v>342</v>
      </c>
      <c r="T3" s="8" t="s">
        <v>377</v>
      </c>
      <c r="U3" s="31" t="s">
        <v>646</v>
      </c>
      <c r="V3" s="31" t="s">
        <v>655</v>
      </c>
      <c r="W3" s="31" t="s">
        <v>655</v>
      </c>
      <c r="X3" s="31" t="s">
        <v>671</v>
      </c>
      <c r="Y3" s="31" t="s">
        <v>680</v>
      </c>
      <c r="Z3" s="31" t="s">
        <v>688</v>
      </c>
      <c r="AA3" s="31" t="s">
        <v>693</v>
      </c>
      <c r="AB3" s="31" t="s">
        <v>700</v>
      </c>
      <c r="AC3" s="31" t="s">
        <v>706</v>
      </c>
      <c r="AD3" s="31" t="s">
        <v>715</v>
      </c>
      <c r="AE3" s="31" t="s">
        <v>719</v>
      </c>
      <c r="AF3" s="31" t="s">
        <v>726</v>
      </c>
      <c r="AG3" s="31" t="s">
        <v>733</v>
      </c>
      <c r="AH3" s="31" t="s">
        <v>738</v>
      </c>
      <c r="AI3" s="31" t="s">
        <v>753</v>
      </c>
      <c r="AJ3" s="31" t="s">
        <v>759</v>
      </c>
      <c r="AK3" s="31" t="s">
        <v>655</v>
      </c>
      <c r="AL3" s="31" t="s">
        <v>651</v>
      </c>
      <c r="AM3" s="31" t="s">
        <v>416</v>
      </c>
      <c r="AN3" s="31" t="s">
        <v>647</v>
      </c>
      <c r="AO3" s="31" t="s">
        <v>917</v>
      </c>
      <c r="AP3" s="31" t="s">
        <v>924</v>
      </c>
      <c r="AQ3" s="31" t="s">
        <v>645</v>
      </c>
      <c r="AR3" s="31" t="s">
        <v>914</v>
      </c>
      <c r="AS3" s="31" t="s">
        <v>937</v>
      </c>
      <c r="AT3" s="31" t="s">
        <v>945</v>
      </c>
      <c r="AU3" s="31" t="s">
        <v>955</v>
      </c>
      <c r="AV3" s="31" t="s">
        <v>705</v>
      </c>
      <c r="AW3" s="31" t="s">
        <v>965</v>
      </c>
      <c r="AX3" s="31" t="s">
        <v>970</v>
      </c>
      <c r="AY3" s="31" t="s">
        <v>976</v>
      </c>
      <c r="AZ3" s="31" t="s">
        <v>981</v>
      </c>
      <c r="BA3" s="31" t="s">
        <v>985</v>
      </c>
      <c r="BB3" s="31" t="s">
        <v>990</v>
      </c>
      <c r="BC3" s="31" t="s">
        <v>994</v>
      </c>
      <c r="BD3" s="31" t="s">
        <v>753</v>
      </c>
      <c r="BE3" s="31" t="s">
        <v>700</v>
      </c>
      <c r="BF3" s="31" t="s">
        <v>707</v>
      </c>
      <c r="BG3" s="31" t="s">
        <v>1011</v>
      </c>
      <c r="BH3" s="31" t="s">
        <v>1015</v>
      </c>
      <c r="BI3" s="31" t="s">
        <v>1021</v>
      </c>
      <c r="BJ3" s="31" t="s">
        <v>1026</v>
      </c>
      <c r="BK3" s="31" t="s">
        <v>720</v>
      </c>
      <c r="BL3" s="31" t="s">
        <v>1034</v>
      </c>
      <c r="BM3" s="31" t="s">
        <v>1039</v>
      </c>
      <c r="BN3" s="31" t="s">
        <v>1853</v>
      </c>
      <c r="BO3" s="31" t="s">
        <v>1858</v>
      </c>
      <c r="BP3" s="31" t="s">
        <v>940</v>
      </c>
      <c r="BQ3" s="31" t="s">
        <v>1760</v>
      </c>
      <c r="BR3" s="31" t="s">
        <v>3151</v>
      </c>
      <c r="BS3" s="31" t="s">
        <v>3158</v>
      </c>
      <c r="BT3" s="31" t="s">
        <v>3166</v>
      </c>
      <c r="BU3" s="31" t="s">
        <v>3173</v>
      </c>
      <c r="BV3" s="31" t="s">
        <v>3180</v>
      </c>
      <c r="BW3" s="31" t="s">
        <v>3190</v>
      </c>
      <c r="BX3" s="31" t="s">
        <v>2803</v>
      </c>
      <c r="BY3" s="31" t="s">
        <v>2808</v>
      </c>
      <c r="BZ3" s="31" t="s">
        <v>2816</v>
      </c>
      <c r="CA3" s="31" t="s">
        <v>2677</v>
      </c>
      <c r="CB3" s="31" t="s">
        <v>2822</v>
      </c>
      <c r="CC3" s="31" t="s">
        <v>2826</v>
      </c>
      <c r="CD3" s="31" t="s">
        <v>2706</v>
      </c>
      <c r="CE3" s="31" t="s">
        <v>2832</v>
      </c>
      <c r="CF3" s="31" t="s">
        <v>2875</v>
      </c>
      <c r="CG3" s="31" t="s">
        <v>2879</v>
      </c>
      <c r="CH3" s="31" t="s">
        <v>2885</v>
      </c>
      <c r="CI3" s="31" t="s">
        <v>2890</v>
      </c>
      <c r="CJ3" s="31" t="s">
        <v>2897</v>
      </c>
      <c r="CK3" s="31" t="s">
        <v>2903</v>
      </c>
      <c r="CL3" s="31" t="s">
        <v>3101</v>
      </c>
      <c r="CM3" s="31" t="s">
        <v>3105</v>
      </c>
      <c r="CN3" s="31" t="s">
        <v>2936</v>
      </c>
      <c r="CO3" s="31" t="s">
        <v>3118</v>
      </c>
      <c r="CP3" s="31" t="s">
        <v>3124</v>
      </c>
      <c r="CQ3" s="31" t="s">
        <v>2951</v>
      </c>
      <c r="CR3" s="31" t="s">
        <v>3134</v>
      </c>
      <c r="CS3" s="31" t="s">
        <v>3138</v>
      </c>
      <c r="CT3" s="480" t="s">
        <v>1905</v>
      </c>
      <c r="CU3" s="480" t="s">
        <v>1937</v>
      </c>
      <c r="CV3" s="480" t="s">
        <v>1969</v>
      </c>
      <c r="CW3" s="480" t="s">
        <v>1998</v>
      </c>
      <c r="CX3" s="480" t="s">
        <v>2024</v>
      </c>
      <c r="CY3" s="480" t="s">
        <v>2060</v>
      </c>
      <c r="CZ3" s="480" t="s">
        <v>3415</v>
      </c>
      <c r="DA3" s="480" t="s">
        <v>3558</v>
      </c>
      <c r="DB3" s="480" t="s">
        <v>3565</v>
      </c>
      <c r="DC3" s="480" t="s">
        <v>3574</v>
      </c>
      <c r="DD3" s="480" t="s">
        <v>3582</v>
      </c>
      <c r="DE3" s="480" t="s">
        <v>3589</v>
      </c>
      <c r="DF3" s="480" t="s">
        <v>3597</v>
      </c>
      <c r="DG3" s="480" t="s">
        <v>3604</v>
      </c>
      <c r="DH3" s="480" t="s">
        <v>3495</v>
      </c>
    </row>
    <row r="4" spans="1:112">
      <c r="A4" s="8" t="s">
        <v>166</v>
      </c>
      <c r="B4" s="8" t="s">
        <v>167</v>
      </c>
      <c r="C4" s="8" t="s">
        <v>168</v>
      </c>
      <c r="D4" s="8" t="s">
        <v>169</v>
      </c>
      <c r="E4" s="8" t="s">
        <v>170</v>
      </c>
      <c r="F4" s="8" t="s">
        <v>171</v>
      </c>
      <c r="G4" s="8" t="s">
        <v>172</v>
      </c>
      <c r="H4" s="8" t="s">
        <v>173</v>
      </c>
      <c r="I4" s="8" t="s">
        <v>174</v>
      </c>
      <c r="J4" s="8" t="s">
        <v>175</v>
      </c>
      <c r="K4" s="8" t="s">
        <v>176</v>
      </c>
      <c r="L4" s="8" t="s">
        <v>177</v>
      </c>
      <c r="M4" s="8" t="s">
        <v>178</v>
      </c>
      <c r="N4" s="8" t="s">
        <v>179</v>
      </c>
      <c r="O4" s="8" t="s">
        <v>180</v>
      </c>
      <c r="P4" s="8" t="s">
        <v>181</v>
      </c>
      <c r="Q4" s="8" t="s">
        <v>182</v>
      </c>
      <c r="R4" s="8" t="s">
        <v>183</v>
      </c>
      <c r="S4" s="8" t="s">
        <v>374</v>
      </c>
      <c r="T4" s="8" t="s">
        <v>378</v>
      </c>
      <c r="U4" s="31" t="s">
        <v>647</v>
      </c>
      <c r="V4" s="31" t="s">
        <v>656</v>
      </c>
      <c r="W4" s="31" t="s">
        <v>660</v>
      </c>
      <c r="X4" s="31" t="s">
        <v>672</v>
      </c>
      <c r="Y4" s="31" t="s">
        <v>681</v>
      </c>
      <c r="Z4" s="31" t="s">
        <v>689</v>
      </c>
      <c r="AA4" s="31" t="s">
        <v>694</v>
      </c>
      <c r="AB4" s="31" t="s">
        <v>701</v>
      </c>
      <c r="AC4" s="31" t="s">
        <v>707</v>
      </c>
      <c r="AD4" s="31" t="s">
        <v>683</v>
      </c>
      <c r="AE4" s="31" t="s">
        <v>720</v>
      </c>
      <c r="AF4" s="31" t="s">
        <v>727</v>
      </c>
      <c r="AG4" s="31" t="s">
        <v>734</v>
      </c>
      <c r="AH4" s="31" t="s">
        <v>739</v>
      </c>
      <c r="AI4" s="31" t="s">
        <v>754</v>
      </c>
      <c r="AJ4" s="31" t="s">
        <v>760</v>
      </c>
      <c r="AK4" s="31" t="s">
        <v>765</v>
      </c>
      <c r="AL4" s="31" t="s">
        <v>648</v>
      </c>
      <c r="AM4" s="31" t="s">
        <v>909</v>
      </c>
      <c r="AN4" s="31" t="s">
        <v>646</v>
      </c>
      <c r="AO4" s="31" t="s">
        <v>918</v>
      </c>
      <c r="AP4" s="31" t="s">
        <v>925</v>
      </c>
      <c r="AQ4" s="31" t="s">
        <v>670</v>
      </c>
      <c r="AR4" s="31" t="s">
        <v>912</v>
      </c>
      <c r="AS4" s="31" t="s">
        <v>938</v>
      </c>
      <c r="AT4" s="31" t="s">
        <v>946</v>
      </c>
      <c r="AU4" s="31" t="s">
        <v>956</v>
      </c>
      <c r="AV4" s="31" t="s">
        <v>960</v>
      </c>
      <c r="AW4" s="31" t="s">
        <v>966</v>
      </c>
      <c r="AX4" s="31" t="s">
        <v>971</v>
      </c>
      <c r="AY4" s="31" t="s">
        <v>977</v>
      </c>
      <c r="AZ4" s="31" t="s">
        <v>982</v>
      </c>
      <c r="BA4" s="31" t="s">
        <v>986</v>
      </c>
      <c r="BB4" s="31" t="s">
        <v>991</v>
      </c>
      <c r="BC4" s="31" t="s">
        <v>995</v>
      </c>
      <c r="BD4" s="31" t="s">
        <v>1001</v>
      </c>
      <c r="BE4" s="31" t="s">
        <v>701</v>
      </c>
      <c r="BF4" s="31" t="s">
        <v>694</v>
      </c>
      <c r="BG4" s="31" t="s">
        <v>1012</v>
      </c>
      <c r="BH4" s="31" t="s">
        <v>1016</v>
      </c>
      <c r="BI4" s="31" t="s">
        <v>1022</v>
      </c>
      <c r="BJ4" s="31" t="s">
        <v>1027</v>
      </c>
      <c r="BK4" s="31" t="s">
        <v>1030</v>
      </c>
      <c r="BL4" s="31" t="s">
        <v>693</v>
      </c>
      <c r="BM4" s="31" t="s">
        <v>1040</v>
      </c>
      <c r="BN4" s="31" t="s">
        <v>1854</v>
      </c>
      <c r="BO4" s="31" t="s">
        <v>1859</v>
      </c>
      <c r="BP4" s="31" t="s">
        <v>939</v>
      </c>
      <c r="BQ4" s="31" t="s">
        <v>1767</v>
      </c>
      <c r="BR4" s="31" t="s">
        <v>3152</v>
      </c>
      <c r="BS4" s="31" t="s">
        <v>3159</v>
      </c>
      <c r="BT4" s="31" t="s">
        <v>3167</v>
      </c>
      <c r="BU4" s="31" t="s">
        <v>3174</v>
      </c>
      <c r="BV4" s="31" t="s">
        <v>3181</v>
      </c>
      <c r="BW4" s="31" t="s">
        <v>3191</v>
      </c>
      <c r="BX4" s="31" t="s">
        <v>1026</v>
      </c>
      <c r="BY4" s="31" t="s">
        <v>2809</v>
      </c>
      <c r="BZ4" s="31" t="s">
        <v>2817</v>
      </c>
      <c r="CA4" s="31" t="s">
        <v>2681</v>
      </c>
      <c r="CB4" s="31" t="s">
        <v>2823</v>
      </c>
      <c r="CC4" s="31" t="s">
        <v>2827</v>
      </c>
      <c r="CD4" s="31" t="s">
        <v>2709</v>
      </c>
      <c r="CE4" s="31" t="s">
        <v>2833</v>
      </c>
      <c r="CF4" s="31" t="s">
        <v>2876</v>
      </c>
      <c r="CG4" s="31" t="s">
        <v>2880</v>
      </c>
      <c r="CH4" s="31" t="s">
        <v>2886</v>
      </c>
      <c r="CI4" s="31" t="s">
        <v>2891</v>
      </c>
      <c r="CJ4" s="31" t="s">
        <v>2898</v>
      </c>
      <c r="CK4" s="31" t="s">
        <v>2904</v>
      </c>
      <c r="CL4" s="31" t="s">
        <v>3102</v>
      </c>
      <c r="CM4" s="31" t="s">
        <v>3106</v>
      </c>
      <c r="CN4" s="31" t="s">
        <v>3114</v>
      </c>
      <c r="CO4" s="31" t="s">
        <v>3119</v>
      </c>
      <c r="CP4" s="31" t="s">
        <v>3125</v>
      </c>
      <c r="CQ4" s="31" t="s">
        <v>2064</v>
      </c>
      <c r="CR4" s="31" t="s">
        <v>3135</v>
      </c>
      <c r="CS4" s="31" t="s">
        <v>3139</v>
      </c>
      <c r="CT4" s="480" t="s">
        <v>1910</v>
      </c>
      <c r="CU4" s="480" t="s">
        <v>1941</v>
      </c>
      <c r="CV4" s="480" t="s">
        <v>1973</v>
      </c>
      <c r="CW4" s="480" t="s">
        <v>2001</v>
      </c>
      <c r="CX4" s="480" t="s">
        <v>2028</v>
      </c>
      <c r="CY4" s="480" t="s">
        <v>2064</v>
      </c>
      <c r="CZ4" s="480" t="s">
        <v>3420</v>
      </c>
      <c r="DA4" s="480" t="s">
        <v>3559</v>
      </c>
      <c r="DB4" s="480" t="s">
        <v>3566</v>
      </c>
      <c r="DC4" s="480" t="s">
        <v>3575</v>
      </c>
      <c r="DD4" s="480" t="s">
        <v>3583</v>
      </c>
      <c r="DE4" s="480" t="s">
        <v>3590</v>
      </c>
      <c r="DF4" s="480" t="s">
        <v>3598</v>
      </c>
      <c r="DG4" s="480" t="s">
        <v>3605</v>
      </c>
      <c r="DH4" s="480" t="s">
        <v>3425</v>
      </c>
    </row>
    <row r="5" spans="1:112">
      <c r="A5" s="8" t="s">
        <v>184</v>
      </c>
      <c r="B5" s="8" t="s">
        <v>185</v>
      </c>
      <c r="C5" s="8" t="s">
        <v>186</v>
      </c>
      <c r="D5" s="8" t="s">
        <v>187</v>
      </c>
      <c r="E5" s="8" t="s">
        <v>188</v>
      </c>
      <c r="F5" s="8" t="s">
        <v>189</v>
      </c>
      <c r="G5" s="8" t="s">
        <v>190</v>
      </c>
      <c r="H5" s="8" t="s">
        <v>191</v>
      </c>
      <c r="I5" s="8" t="s">
        <v>192</v>
      </c>
      <c r="J5" s="8" t="s">
        <v>193</v>
      </c>
      <c r="L5" s="8" t="s">
        <v>194</v>
      </c>
      <c r="M5" s="8" t="s">
        <v>195</v>
      </c>
      <c r="N5" s="8" t="s">
        <v>196</v>
      </c>
      <c r="O5" s="8" t="s">
        <v>197</v>
      </c>
      <c r="Q5" s="8" t="s">
        <v>198</v>
      </c>
      <c r="R5" s="8" t="s">
        <v>199</v>
      </c>
      <c r="S5" s="8" t="s">
        <v>211</v>
      </c>
      <c r="T5" s="31"/>
      <c r="U5" s="31" t="s">
        <v>648</v>
      </c>
      <c r="V5" s="31" t="s">
        <v>657</v>
      </c>
      <c r="W5" s="31" t="s">
        <v>661</v>
      </c>
      <c r="X5" s="31" t="s">
        <v>673</v>
      </c>
      <c r="Y5" s="31" t="s">
        <v>682</v>
      </c>
      <c r="Z5" s="31" t="s">
        <v>690</v>
      </c>
      <c r="AA5" s="31" t="s">
        <v>695</v>
      </c>
      <c r="AB5" s="31" t="s">
        <v>702</v>
      </c>
      <c r="AC5" s="31" t="s">
        <v>708</v>
      </c>
      <c r="AD5" s="31" t="s">
        <v>684</v>
      </c>
      <c r="AE5" s="31" t="s">
        <v>721</v>
      </c>
      <c r="AF5" s="31" t="s">
        <v>728</v>
      </c>
      <c r="AG5" s="31" t="s">
        <v>735</v>
      </c>
      <c r="AH5" s="31" t="s">
        <v>740</v>
      </c>
      <c r="AI5" s="31" t="s">
        <v>755</v>
      </c>
      <c r="AJ5" s="31" t="s">
        <v>761</v>
      </c>
      <c r="AK5" s="31" t="s">
        <v>766</v>
      </c>
      <c r="AL5" s="31" t="s">
        <v>653</v>
      </c>
      <c r="AM5" s="31"/>
      <c r="AN5" s="31" t="s">
        <v>649</v>
      </c>
      <c r="AO5" s="31" t="s">
        <v>919</v>
      </c>
      <c r="AP5" s="31" t="s">
        <v>664</v>
      </c>
      <c r="AQ5" s="31" t="s">
        <v>472</v>
      </c>
      <c r="AR5" s="31" t="s">
        <v>934</v>
      </c>
      <c r="AS5" s="31" t="s">
        <v>939</v>
      </c>
      <c r="AT5" s="31" t="s">
        <v>947</v>
      </c>
      <c r="AU5" s="31" t="s">
        <v>957</v>
      </c>
      <c r="AV5" s="31" t="s">
        <v>707</v>
      </c>
      <c r="AW5" s="31" t="s">
        <v>967</v>
      </c>
      <c r="AX5" s="31" t="s">
        <v>972</v>
      </c>
      <c r="AY5" s="31" t="s">
        <v>978</v>
      </c>
      <c r="AZ5" s="31" t="s">
        <v>973</v>
      </c>
      <c r="BA5" s="31" t="s">
        <v>987</v>
      </c>
      <c r="BB5" s="31"/>
      <c r="BC5" s="31" t="s">
        <v>996</v>
      </c>
      <c r="BD5" s="31" t="s">
        <v>1002</v>
      </c>
      <c r="BE5" s="31" t="s">
        <v>1004</v>
      </c>
      <c r="BF5" s="31" t="s">
        <v>1008</v>
      </c>
      <c r="BG5" s="31" t="s">
        <v>734</v>
      </c>
      <c r="BH5" s="31" t="s">
        <v>1017</v>
      </c>
      <c r="BI5" s="31" t="s">
        <v>1023</v>
      </c>
      <c r="BJ5" s="31"/>
      <c r="BK5" s="31" t="s">
        <v>1031</v>
      </c>
      <c r="BL5" s="31" t="s">
        <v>1035</v>
      </c>
      <c r="BM5" s="31" t="s">
        <v>1041</v>
      </c>
      <c r="BN5" s="31" t="s">
        <v>1855</v>
      </c>
      <c r="BO5" s="31" t="s">
        <v>1860</v>
      </c>
      <c r="BP5" s="31" t="s">
        <v>941</v>
      </c>
      <c r="BQ5" s="31" t="s">
        <v>1772</v>
      </c>
      <c r="BR5" s="31" t="s">
        <v>3153</v>
      </c>
      <c r="BS5" s="31" t="s">
        <v>3160</v>
      </c>
      <c r="BT5" s="31" t="s">
        <v>3168</v>
      </c>
      <c r="BU5" s="31" t="s">
        <v>3175</v>
      </c>
      <c r="BV5" s="31" t="s">
        <v>3182</v>
      </c>
      <c r="BW5" s="31" t="s">
        <v>3192</v>
      </c>
      <c r="BX5" s="31" t="s">
        <v>2804</v>
      </c>
      <c r="BY5" s="31" t="s">
        <v>2810</v>
      </c>
      <c r="BZ5" s="31" t="s">
        <v>2818</v>
      </c>
      <c r="CA5" s="31" t="s">
        <v>2685</v>
      </c>
      <c r="CB5" s="31" t="s">
        <v>2824</v>
      </c>
      <c r="CC5" s="31" t="s">
        <v>2828</v>
      </c>
      <c r="CD5" s="31" t="s">
        <v>2712</v>
      </c>
      <c r="CE5" s="31" t="s">
        <v>2834</v>
      </c>
      <c r="CF5" s="31" t="s">
        <v>2877</v>
      </c>
      <c r="CG5" s="31" t="s">
        <v>2881</v>
      </c>
      <c r="CH5" s="31" t="s">
        <v>2887</v>
      </c>
      <c r="CI5" s="31" t="s">
        <v>2892</v>
      </c>
      <c r="CJ5" s="31" t="s">
        <v>2899</v>
      </c>
      <c r="CK5" s="31" t="s">
        <v>2905</v>
      </c>
      <c r="CL5" s="31" t="s">
        <v>2805</v>
      </c>
      <c r="CM5" s="31" t="s">
        <v>3107</v>
      </c>
      <c r="CN5" s="31" t="s">
        <v>3115</v>
      </c>
      <c r="CO5" s="31" t="s">
        <v>3120</v>
      </c>
      <c r="CP5" s="31" t="s">
        <v>3126</v>
      </c>
      <c r="CQ5" s="31" t="s">
        <v>3130</v>
      </c>
      <c r="CR5" s="31" t="s">
        <v>3136</v>
      </c>
      <c r="CS5" s="31" t="s">
        <v>3140</v>
      </c>
      <c r="CT5" s="480" t="s">
        <v>1915</v>
      </c>
      <c r="CU5" s="480" t="s">
        <v>1945</v>
      </c>
      <c r="CV5" s="480" t="s">
        <v>1977</v>
      </c>
      <c r="CW5" s="480" t="s">
        <v>2004</v>
      </c>
      <c r="CX5" s="480" t="s">
        <v>2032</v>
      </c>
      <c r="CY5" s="480" t="s">
        <v>2068</v>
      </c>
      <c r="CZ5" s="480" t="s">
        <v>3425</v>
      </c>
      <c r="DA5" s="480" t="s">
        <v>3560</v>
      </c>
      <c r="DB5" s="480" t="s">
        <v>3567</v>
      </c>
      <c r="DC5" s="480" t="s">
        <v>3576</v>
      </c>
      <c r="DD5" s="480" t="s">
        <v>3584</v>
      </c>
      <c r="DE5" s="480" t="s">
        <v>3591</v>
      </c>
      <c r="DF5" s="480" t="s">
        <v>3599</v>
      </c>
      <c r="DG5" s="480" t="s">
        <v>3606</v>
      </c>
      <c r="DH5" s="480" t="s">
        <v>3430</v>
      </c>
    </row>
    <row r="6" spans="1:112">
      <c r="A6" s="8" t="s">
        <v>200</v>
      </c>
      <c r="B6" s="8" t="s">
        <v>201</v>
      </c>
      <c r="C6" s="8" t="s">
        <v>202</v>
      </c>
      <c r="D6" s="8" t="s">
        <v>203</v>
      </c>
      <c r="E6" s="8" t="s">
        <v>204</v>
      </c>
      <c r="F6" s="8" t="s">
        <v>205</v>
      </c>
      <c r="G6" s="8" t="s">
        <v>206</v>
      </c>
      <c r="H6" s="8" t="s">
        <v>207</v>
      </c>
      <c r="I6" s="8" t="s">
        <v>208</v>
      </c>
      <c r="L6" s="8" t="s">
        <v>209</v>
      </c>
      <c r="M6" s="8" t="s">
        <v>210</v>
      </c>
      <c r="O6" s="8" t="s">
        <v>211</v>
      </c>
      <c r="R6" s="8" t="s">
        <v>212</v>
      </c>
      <c r="U6" s="31" t="s">
        <v>649</v>
      </c>
      <c r="V6" s="31" t="s">
        <v>658</v>
      </c>
      <c r="W6" s="31" t="s">
        <v>662</v>
      </c>
      <c r="X6" s="31" t="s">
        <v>674</v>
      </c>
      <c r="Y6" s="31" t="s">
        <v>683</v>
      </c>
      <c r="Z6" s="31" t="s">
        <v>691</v>
      </c>
      <c r="AA6" s="31" t="s">
        <v>696</v>
      </c>
      <c r="AB6" s="31" t="s">
        <v>671</v>
      </c>
      <c r="AC6" s="31" t="s">
        <v>709</v>
      </c>
      <c r="AD6" s="31" t="s">
        <v>716</v>
      </c>
      <c r="AE6" s="31" t="s">
        <v>722</v>
      </c>
      <c r="AF6" s="31" t="s">
        <v>729</v>
      </c>
      <c r="AG6" s="31"/>
      <c r="AH6" s="31" t="s">
        <v>741</v>
      </c>
      <c r="AI6" s="31" t="s">
        <v>756</v>
      </c>
      <c r="AJ6" s="31" t="s">
        <v>762</v>
      </c>
      <c r="AK6" s="31" t="s">
        <v>767</v>
      </c>
      <c r="AL6" s="31" t="s">
        <v>907</v>
      </c>
      <c r="AM6" s="31"/>
      <c r="AN6" s="31" t="s">
        <v>912</v>
      </c>
      <c r="AO6" s="31" t="s">
        <v>920</v>
      </c>
      <c r="AP6" s="31" t="s">
        <v>926</v>
      </c>
      <c r="AQ6" s="31" t="s">
        <v>912</v>
      </c>
      <c r="AR6" s="31" t="s">
        <v>931</v>
      </c>
      <c r="AS6" s="31" t="s">
        <v>940</v>
      </c>
      <c r="AT6" s="31" t="s">
        <v>948</v>
      </c>
      <c r="AU6" s="31" t="s">
        <v>452</v>
      </c>
      <c r="AV6" s="31" t="s">
        <v>655</v>
      </c>
      <c r="AW6" s="31"/>
      <c r="AX6" s="31" t="s">
        <v>973</v>
      </c>
      <c r="AY6" s="31"/>
      <c r="AZ6" s="31"/>
      <c r="BA6" s="31" t="s">
        <v>973</v>
      </c>
      <c r="BB6" s="31"/>
      <c r="BC6" s="31" t="s">
        <v>997</v>
      </c>
      <c r="BD6" s="31"/>
      <c r="BE6" s="31" t="s">
        <v>1005</v>
      </c>
      <c r="BF6" s="31"/>
      <c r="BG6" s="31"/>
      <c r="BH6" s="31" t="s">
        <v>1018</v>
      </c>
      <c r="BI6" s="31"/>
      <c r="BJ6" s="31"/>
      <c r="BK6" s="31"/>
      <c r="BL6" s="31" t="s">
        <v>1036</v>
      </c>
      <c r="BM6" s="31"/>
      <c r="BN6" s="31" t="s">
        <v>193</v>
      </c>
      <c r="BO6" s="31" t="s">
        <v>1861</v>
      </c>
      <c r="BP6" s="31" t="s">
        <v>1863</v>
      </c>
      <c r="BQ6" s="31" t="s">
        <v>1864</v>
      </c>
      <c r="BR6" s="31" t="s">
        <v>3154</v>
      </c>
      <c r="BS6" s="31" t="s">
        <v>3161</v>
      </c>
      <c r="BT6" s="31" t="s">
        <v>3169</v>
      </c>
      <c r="BU6" s="31" t="s">
        <v>3176</v>
      </c>
      <c r="BV6" s="31" t="s">
        <v>3183</v>
      </c>
      <c r="BW6" s="31" t="s">
        <v>3193</v>
      </c>
      <c r="BX6" s="31" t="s">
        <v>2805</v>
      </c>
      <c r="BY6" s="31" t="s">
        <v>2811</v>
      </c>
      <c r="BZ6" s="31" t="s">
        <v>2819</v>
      </c>
      <c r="CA6" s="31" t="s">
        <v>2689</v>
      </c>
      <c r="CB6" s="31" t="s">
        <v>2825</v>
      </c>
      <c r="CC6" s="31" t="s">
        <v>2829</v>
      </c>
      <c r="CD6" s="31" t="s">
        <v>2716</v>
      </c>
      <c r="CE6" s="31" t="s">
        <v>2835</v>
      </c>
      <c r="CG6" s="31" t="s">
        <v>2882</v>
      </c>
      <c r="CH6" s="31" t="s">
        <v>2888</v>
      </c>
      <c r="CI6" s="31" t="s">
        <v>2893</v>
      </c>
      <c r="CJ6" s="31" t="s">
        <v>2900</v>
      </c>
      <c r="CK6" s="31" t="s">
        <v>2906</v>
      </c>
      <c r="CL6" s="31" t="s">
        <v>1919</v>
      </c>
      <c r="CM6" s="31" t="s">
        <v>3108</v>
      </c>
      <c r="CN6" s="31" t="s">
        <v>3116</v>
      </c>
      <c r="CO6" s="31" t="s">
        <v>3121</v>
      </c>
      <c r="CP6" s="31" t="s">
        <v>3127</v>
      </c>
      <c r="CQ6" s="31" t="s">
        <v>3131</v>
      </c>
      <c r="CS6" s="31" t="s">
        <v>3141</v>
      </c>
      <c r="CT6" s="480" t="s">
        <v>1919</v>
      </c>
      <c r="CU6" s="480" t="s">
        <v>1949</v>
      </c>
      <c r="CV6" s="480" t="s">
        <v>1981</v>
      </c>
      <c r="CW6" s="480" t="s">
        <v>2008</v>
      </c>
      <c r="CX6" s="480" t="s">
        <v>2036</v>
      </c>
      <c r="CY6" s="480" t="s">
        <v>2072</v>
      </c>
      <c r="CZ6" s="480" t="s">
        <v>3430</v>
      </c>
      <c r="DA6" s="480" t="s">
        <v>3561</v>
      </c>
      <c r="DB6" s="480" t="s">
        <v>3568</v>
      </c>
      <c r="DC6" s="480" t="s">
        <v>3577</v>
      </c>
      <c r="DD6" s="480" t="s">
        <v>3585</v>
      </c>
      <c r="DE6" s="480" t="s">
        <v>3592</v>
      </c>
      <c r="DF6" s="480" t="s">
        <v>3600</v>
      </c>
      <c r="DH6" s="480" t="s">
        <v>3435</v>
      </c>
    </row>
    <row r="7" spans="1:112">
      <c r="A7" s="8" t="s">
        <v>213</v>
      </c>
      <c r="B7" s="8" t="s">
        <v>203</v>
      </c>
      <c r="C7" s="8" t="s">
        <v>214</v>
      </c>
      <c r="E7" s="8" t="s">
        <v>215</v>
      </c>
      <c r="F7" s="8" t="s">
        <v>216</v>
      </c>
      <c r="G7" s="8" t="s">
        <v>217</v>
      </c>
      <c r="H7" s="8" t="s">
        <v>218</v>
      </c>
      <c r="I7" s="8" t="s">
        <v>197</v>
      </c>
      <c r="L7" s="8" t="s">
        <v>219</v>
      </c>
      <c r="R7" s="8" t="s">
        <v>220</v>
      </c>
      <c r="U7" s="31" t="s">
        <v>650</v>
      </c>
      <c r="V7" s="31"/>
      <c r="W7" s="31" t="s">
        <v>433</v>
      </c>
      <c r="X7" s="31" t="s">
        <v>675</v>
      </c>
      <c r="Y7" s="31" t="s">
        <v>684</v>
      </c>
      <c r="Z7" s="31"/>
      <c r="AA7" s="31" t="s">
        <v>697</v>
      </c>
      <c r="AB7" s="31" t="s">
        <v>666</v>
      </c>
      <c r="AC7" s="31" t="s">
        <v>710</v>
      </c>
      <c r="AD7" s="31"/>
      <c r="AE7" s="31" t="s">
        <v>723</v>
      </c>
      <c r="AF7" s="31" t="s">
        <v>730</v>
      </c>
      <c r="AG7" s="31"/>
      <c r="AH7" s="31" t="s">
        <v>742</v>
      </c>
      <c r="AI7" s="31"/>
      <c r="AJ7" s="31"/>
      <c r="AK7" s="31" t="s">
        <v>768</v>
      </c>
      <c r="AL7" s="31"/>
      <c r="AM7" s="31"/>
      <c r="AN7" s="31" t="s">
        <v>913</v>
      </c>
      <c r="AO7" s="31" t="s">
        <v>921</v>
      </c>
      <c r="AP7" s="31" t="s">
        <v>927</v>
      </c>
      <c r="AQ7" s="31" t="s">
        <v>407</v>
      </c>
      <c r="AR7" s="31" t="s">
        <v>932</v>
      </c>
      <c r="AS7" s="31" t="s">
        <v>941</v>
      </c>
      <c r="AT7" s="31" t="s">
        <v>949</v>
      </c>
      <c r="AU7" s="31" t="s">
        <v>958</v>
      </c>
      <c r="AV7" s="31" t="s">
        <v>709</v>
      </c>
      <c r="AW7" s="31"/>
      <c r="AX7" s="31"/>
      <c r="AY7" s="31"/>
      <c r="AZ7" s="31"/>
      <c r="BA7" s="31"/>
      <c r="BB7" s="31"/>
      <c r="BC7" s="31" t="s">
        <v>998</v>
      </c>
      <c r="BD7" s="31"/>
      <c r="BE7" s="31"/>
      <c r="BF7" s="31"/>
      <c r="BG7" s="31"/>
      <c r="BH7" s="31" t="s">
        <v>676</v>
      </c>
      <c r="BI7" s="31"/>
      <c r="BJ7" s="31"/>
      <c r="BK7" s="31"/>
      <c r="BL7" s="31"/>
      <c r="BM7" s="31"/>
      <c r="BQ7" s="31" t="s">
        <v>1865</v>
      </c>
      <c r="BR7" s="31" t="s">
        <v>3155</v>
      </c>
      <c r="BS7" s="31" t="s">
        <v>3162</v>
      </c>
      <c r="BT7" s="31" t="s">
        <v>3170</v>
      </c>
      <c r="BU7" s="31" t="s">
        <v>3177</v>
      </c>
      <c r="BV7" s="31" t="s">
        <v>3184</v>
      </c>
      <c r="BW7" s="31" t="s">
        <v>3194</v>
      </c>
      <c r="BX7" s="31" t="s">
        <v>2806</v>
      </c>
      <c r="BY7" s="31" t="s">
        <v>2812</v>
      </c>
      <c r="BZ7" s="31" t="s">
        <v>2820</v>
      </c>
      <c r="CA7" s="31" t="s">
        <v>926</v>
      </c>
      <c r="CB7" s="31" t="s">
        <v>2814</v>
      </c>
      <c r="CC7" s="31" t="s">
        <v>2830</v>
      </c>
      <c r="CD7" s="31" t="s">
        <v>2720</v>
      </c>
      <c r="CE7" s="31" t="s">
        <v>2836</v>
      </c>
      <c r="CG7" s="31" t="s">
        <v>2883</v>
      </c>
      <c r="CI7" s="31" t="s">
        <v>2894</v>
      </c>
      <c r="CJ7" s="31" t="s">
        <v>2901</v>
      </c>
      <c r="CL7" s="31" t="s">
        <v>3103</v>
      </c>
      <c r="CM7" s="31" t="s">
        <v>3109</v>
      </c>
      <c r="CN7" s="31" t="s">
        <v>3117</v>
      </c>
      <c r="CO7" s="31" t="s">
        <v>3122</v>
      </c>
      <c r="CP7" s="31" t="s">
        <v>3128</v>
      </c>
      <c r="CQ7" s="31" t="s">
        <v>3132</v>
      </c>
      <c r="CS7" s="31" t="s">
        <v>3142</v>
      </c>
      <c r="CT7" s="480" t="s">
        <v>1924</v>
      </c>
      <c r="CU7" s="480" t="s">
        <v>1953</v>
      </c>
      <c r="CV7" s="480" t="s">
        <v>1985</v>
      </c>
      <c r="CW7" s="480" t="s">
        <v>2012</v>
      </c>
      <c r="CX7" s="480" t="s">
        <v>2040</v>
      </c>
      <c r="CY7" s="480" t="s">
        <v>2076</v>
      </c>
      <c r="CZ7" s="480" t="s">
        <v>3435</v>
      </c>
      <c r="DA7" s="480" t="s">
        <v>3562</v>
      </c>
      <c r="DB7" s="480" t="s">
        <v>3569</v>
      </c>
      <c r="DC7" s="480" t="s">
        <v>3578</v>
      </c>
      <c r="DD7" s="480" t="s">
        <v>3586</v>
      </c>
      <c r="DE7" s="480" t="s">
        <v>3593</v>
      </c>
      <c r="DF7" s="480" t="s">
        <v>3601</v>
      </c>
      <c r="DH7" s="480" t="s">
        <v>3445</v>
      </c>
    </row>
    <row r="8" spans="1:112">
      <c r="A8" s="8" t="s">
        <v>221</v>
      </c>
      <c r="C8" s="8" t="s">
        <v>203</v>
      </c>
      <c r="E8" s="8" t="s">
        <v>222</v>
      </c>
      <c r="F8" s="8" t="s">
        <v>223</v>
      </c>
      <c r="G8" s="8" t="s">
        <v>224</v>
      </c>
      <c r="H8" s="8" t="s">
        <v>225</v>
      </c>
      <c r="R8" s="8" t="s">
        <v>226</v>
      </c>
      <c r="U8" s="31" t="s">
        <v>651</v>
      </c>
      <c r="V8" s="31"/>
      <c r="W8" s="31" t="s">
        <v>663</v>
      </c>
      <c r="X8" s="31" t="s">
        <v>676</v>
      </c>
      <c r="Y8" s="31"/>
      <c r="Z8" s="31"/>
      <c r="AA8" s="31"/>
      <c r="AB8" s="31" t="s">
        <v>703</v>
      </c>
      <c r="AC8" s="31" t="s">
        <v>711</v>
      </c>
      <c r="AD8" s="31"/>
      <c r="AE8" s="31"/>
      <c r="AF8" s="31"/>
      <c r="AG8" s="31"/>
      <c r="AH8" s="31" t="s">
        <v>743</v>
      </c>
      <c r="AI8" s="31"/>
      <c r="AJ8" s="31"/>
      <c r="AK8" s="31" t="s">
        <v>660</v>
      </c>
      <c r="AL8" s="31"/>
      <c r="AM8" s="31"/>
      <c r="AN8" s="31" t="s">
        <v>645</v>
      </c>
      <c r="AO8" s="31"/>
      <c r="AP8" s="31" t="s">
        <v>928</v>
      </c>
      <c r="AQ8" s="31" t="s">
        <v>930</v>
      </c>
      <c r="AR8" s="31" t="s">
        <v>935</v>
      </c>
      <c r="AS8" s="31" t="s">
        <v>942</v>
      </c>
      <c r="AT8" s="31" t="s">
        <v>950</v>
      </c>
      <c r="AU8" s="31"/>
      <c r="AV8" s="31" t="s">
        <v>708</v>
      </c>
      <c r="AW8" s="31"/>
      <c r="AX8" s="31"/>
      <c r="AY8" s="31"/>
      <c r="AZ8" s="31"/>
      <c r="BA8" s="31"/>
      <c r="BB8" s="31"/>
      <c r="BC8" s="31"/>
      <c r="BD8" s="31"/>
      <c r="BE8" s="31"/>
      <c r="BF8" s="31"/>
      <c r="BG8" s="31"/>
      <c r="BH8" s="31"/>
      <c r="BI8" s="31"/>
      <c r="BJ8" s="31"/>
      <c r="BK8" s="31"/>
      <c r="BL8" s="31"/>
      <c r="BM8" s="31"/>
      <c r="BQ8" s="31" t="s">
        <v>1866</v>
      </c>
      <c r="BS8" s="31" t="s">
        <v>3163</v>
      </c>
      <c r="BV8" s="31" t="s">
        <v>3185</v>
      </c>
      <c r="BW8" s="31" t="s">
        <v>3195</v>
      </c>
      <c r="BX8" s="31" t="s">
        <v>2807</v>
      </c>
      <c r="BY8" s="31" t="s">
        <v>2813</v>
      </c>
      <c r="BZ8" s="31" t="s">
        <v>2821</v>
      </c>
      <c r="CA8" s="31" t="s">
        <v>2611</v>
      </c>
      <c r="CD8" s="31" t="s">
        <v>2723</v>
      </c>
      <c r="CE8" s="31" t="s">
        <v>2837</v>
      </c>
      <c r="CI8" s="31" t="s">
        <v>2895</v>
      </c>
      <c r="CM8" s="31" t="s">
        <v>3110</v>
      </c>
      <c r="CS8" s="31" t="s">
        <v>3143</v>
      </c>
      <c r="CU8" s="480" t="s">
        <v>1957</v>
      </c>
      <c r="CX8" s="480" t="s">
        <v>2044</v>
      </c>
      <c r="CY8" s="480" t="s">
        <v>2415</v>
      </c>
      <c r="CZ8" s="480" t="s">
        <v>3440</v>
      </c>
      <c r="DB8" s="480" t="s">
        <v>3570</v>
      </c>
      <c r="DC8" s="480" t="s">
        <v>3579</v>
      </c>
      <c r="DE8" s="480" t="s">
        <v>3594</v>
      </c>
      <c r="DH8" s="480" t="s">
        <v>3532</v>
      </c>
    </row>
    <row r="9" spans="1:112">
      <c r="A9" s="8" t="s">
        <v>227</v>
      </c>
      <c r="E9" s="8" t="s">
        <v>228</v>
      </c>
      <c r="F9" s="8" t="s">
        <v>229</v>
      </c>
      <c r="G9" s="8" t="s">
        <v>230</v>
      </c>
      <c r="H9" s="8" t="s">
        <v>231</v>
      </c>
      <c r="R9" s="8" t="s">
        <v>232</v>
      </c>
      <c r="U9" s="31" t="s">
        <v>652</v>
      </c>
      <c r="V9" s="31"/>
      <c r="W9" s="31" t="s">
        <v>664</v>
      </c>
      <c r="X9" s="31" t="s">
        <v>677</v>
      </c>
      <c r="Y9" s="31"/>
      <c r="Z9" s="31"/>
      <c r="AA9" s="31"/>
      <c r="AB9" s="31" t="s">
        <v>660</v>
      </c>
      <c r="AC9" s="31" t="s">
        <v>712</v>
      </c>
      <c r="AD9" s="31"/>
      <c r="AE9" s="31"/>
      <c r="AF9" s="31"/>
      <c r="AG9" s="31"/>
      <c r="AH9" s="31" t="s">
        <v>744</v>
      </c>
      <c r="AI9" s="31"/>
      <c r="AJ9" s="31"/>
      <c r="AK9" s="31"/>
      <c r="AL9" s="31"/>
      <c r="AM9" s="31"/>
      <c r="AN9" s="31" t="s">
        <v>472</v>
      </c>
      <c r="AO9" s="31"/>
      <c r="AP9" s="31"/>
      <c r="AQ9" s="31" t="s">
        <v>914</v>
      </c>
      <c r="AR9" s="31" t="s">
        <v>401</v>
      </c>
      <c r="AS9" s="31" t="s">
        <v>943</v>
      </c>
      <c r="AT9" s="31" t="s">
        <v>951</v>
      </c>
      <c r="AU9" s="31"/>
      <c r="AV9" s="31" t="s">
        <v>401</v>
      </c>
      <c r="AW9" s="31"/>
      <c r="AX9" s="31"/>
      <c r="AY9" s="31"/>
      <c r="AZ9" s="31"/>
      <c r="BA9" s="31"/>
      <c r="BB9" s="31"/>
      <c r="BC9" s="31"/>
      <c r="BD9" s="31"/>
      <c r="BE9" s="31"/>
      <c r="BF9" s="31"/>
      <c r="BG9" s="31"/>
      <c r="BH9" s="31"/>
      <c r="BI9" s="31"/>
      <c r="BJ9" s="31"/>
      <c r="BK9" s="31"/>
      <c r="BL9" s="31"/>
      <c r="BM9" s="31"/>
      <c r="BQ9" s="31" t="s">
        <v>1867</v>
      </c>
      <c r="BV9" s="31" t="s">
        <v>3186</v>
      </c>
      <c r="BY9" s="31" t="s">
        <v>2814</v>
      </c>
      <c r="BZ9" s="31" t="s">
        <v>2611</v>
      </c>
      <c r="CD9" s="31" t="s">
        <v>2727</v>
      </c>
      <c r="CE9" s="31" t="s">
        <v>2611</v>
      </c>
      <c r="CM9" s="31" t="s">
        <v>3111</v>
      </c>
      <c r="CS9" s="31" t="s">
        <v>3144</v>
      </c>
      <c r="CX9" s="480" t="s">
        <v>2048</v>
      </c>
      <c r="CZ9" s="480" t="s">
        <v>3445</v>
      </c>
      <c r="DB9" s="480" t="s">
        <v>3571</v>
      </c>
    </row>
    <row r="10" spans="1:112">
      <c r="A10" s="8" t="s">
        <v>233</v>
      </c>
      <c r="E10" s="8" t="s">
        <v>234</v>
      </c>
      <c r="F10" s="8" t="s">
        <v>235</v>
      </c>
      <c r="G10" s="8" t="s">
        <v>236</v>
      </c>
      <c r="H10" s="8" t="s">
        <v>237</v>
      </c>
      <c r="R10" s="8" t="s">
        <v>238</v>
      </c>
      <c r="U10" s="31" t="s">
        <v>653</v>
      </c>
      <c r="V10" s="31"/>
      <c r="W10" s="31" t="s">
        <v>665</v>
      </c>
      <c r="X10" s="31"/>
      <c r="Y10" s="31"/>
      <c r="Z10" s="31"/>
      <c r="AA10" s="31"/>
      <c r="AB10" s="31" t="s">
        <v>667</v>
      </c>
      <c r="AC10" s="31"/>
      <c r="AD10" s="31"/>
      <c r="AE10" s="31"/>
      <c r="AF10" s="31"/>
      <c r="AG10" s="31"/>
      <c r="AH10" s="31" t="s">
        <v>745</v>
      </c>
      <c r="AI10" s="31"/>
      <c r="AJ10" s="31"/>
      <c r="AK10" s="31"/>
      <c r="AL10" s="31"/>
      <c r="AM10" s="31"/>
      <c r="AN10" s="31" t="s">
        <v>914</v>
      </c>
      <c r="AO10" s="31"/>
      <c r="AP10" s="31"/>
      <c r="AQ10" s="31" t="s">
        <v>931</v>
      </c>
      <c r="AR10" s="31"/>
      <c r="AS10" s="31"/>
      <c r="AT10" s="31" t="s">
        <v>952</v>
      </c>
      <c r="AU10" s="31"/>
      <c r="AV10" s="31" t="s">
        <v>961</v>
      </c>
      <c r="AW10" s="31"/>
      <c r="AX10" s="31"/>
      <c r="AY10" s="31"/>
      <c r="AZ10" s="31"/>
      <c r="BA10" s="31"/>
      <c r="BB10" s="31"/>
      <c r="BC10" s="31"/>
      <c r="BD10" s="31"/>
      <c r="BE10" s="31"/>
      <c r="BF10" s="31"/>
      <c r="BG10" s="31"/>
      <c r="BH10" s="31"/>
      <c r="BI10" s="31"/>
      <c r="BJ10" s="31"/>
      <c r="BK10" s="31"/>
      <c r="BL10" s="31"/>
      <c r="BM10" s="31"/>
      <c r="BQ10" s="31" t="s">
        <v>1808</v>
      </c>
      <c r="BV10" s="31" t="s">
        <v>1652</v>
      </c>
      <c r="CM10" s="31" t="s">
        <v>3112</v>
      </c>
      <c r="CX10" s="480" t="s">
        <v>2413</v>
      </c>
      <c r="CZ10" s="480" t="s">
        <v>3450</v>
      </c>
    </row>
    <row r="11" spans="1:112">
      <c r="A11" s="8" t="s">
        <v>239</v>
      </c>
      <c r="E11" s="8" t="s">
        <v>240</v>
      </c>
      <c r="F11" s="8" t="s">
        <v>241</v>
      </c>
      <c r="G11" s="8" t="s">
        <v>242</v>
      </c>
      <c r="H11" s="8" t="s">
        <v>243</v>
      </c>
      <c r="U11" s="31"/>
      <c r="V11" s="31"/>
      <c r="W11" s="31" t="s">
        <v>666</v>
      </c>
      <c r="X11" s="31"/>
      <c r="Y11" s="31"/>
      <c r="Z11" s="31"/>
      <c r="AA11" s="31"/>
      <c r="AB11" s="31"/>
      <c r="AC11" s="31"/>
      <c r="AD11" s="31"/>
      <c r="AE11" s="31"/>
      <c r="AF11" s="31"/>
      <c r="AG11" s="31"/>
      <c r="AH11" s="31" t="s">
        <v>746</v>
      </c>
      <c r="AI11" s="31"/>
      <c r="AJ11" s="31"/>
      <c r="AK11" s="31"/>
      <c r="AL11" s="31"/>
      <c r="AM11" s="31"/>
      <c r="AN11" s="31"/>
      <c r="AO11" s="31"/>
      <c r="AP11" s="31"/>
      <c r="AQ11" s="31" t="s">
        <v>932</v>
      </c>
      <c r="AR11" s="31"/>
      <c r="AS11" s="31"/>
      <c r="AT11" s="31"/>
      <c r="AU11" s="31"/>
      <c r="AV11" s="31" t="s">
        <v>962</v>
      </c>
      <c r="AW11" s="31"/>
      <c r="AX11" s="31"/>
      <c r="AY11" s="31"/>
      <c r="AZ11" s="31"/>
      <c r="BA11" s="31"/>
      <c r="BB11" s="31"/>
      <c r="BC11" s="31"/>
      <c r="BD11" s="31"/>
      <c r="BE11" s="31"/>
      <c r="BF11" s="31"/>
      <c r="BG11" s="31"/>
      <c r="BH11" s="31"/>
      <c r="BI11" s="31"/>
      <c r="BJ11" s="31"/>
      <c r="BK11" s="31"/>
      <c r="BL11" s="31"/>
      <c r="BM11" s="31"/>
      <c r="BQ11" s="31" t="s">
        <v>1814</v>
      </c>
      <c r="BV11" s="31" t="s">
        <v>3187</v>
      </c>
      <c r="CX11" s="480" t="s">
        <v>2414</v>
      </c>
    </row>
    <row r="12" spans="1:112">
      <c r="A12" s="8" t="s">
        <v>244</v>
      </c>
      <c r="G12" s="8" t="s">
        <v>203</v>
      </c>
      <c r="H12" s="8" t="s">
        <v>245</v>
      </c>
      <c r="U12" s="31"/>
      <c r="V12" s="31"/>
      <c r="W12" s="31" t="s">
        <v>667</v>
      </c>
      <c r="X12" s="31"/>
      <c r="Y12" s="31"/>
      <c r="Z12" s="31"/>
      <c r="AA12" s="31"/>
      <c r="AB12" s="31"/>
      <c r="AC12" s="31"/>
      <c r="AD12" s="31"/>
      <c r="AE12" s="31"/>
      <c r="AF12" s="31"/>
      <c r="AG12" s="31"/>
      <c r="AH12" s="31" t="s">
        <v>747</v>
      </c>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Q12" s="31" t="s">
        <v>1868</v>
      </c>
    </row>
    <row r="13" spans="1:112">
      <c r="A13" s="8" t="s">
        <v>203</v>
      </c>
      <c r="H13" s="8" t="s">
        <v>246</v>
      </c>
      <c r="U13" s="31"/>
      <c r="V13" s="31"/>
      <c r="W13" s="31" t="s">
        <v>668</v>
      </c>
      <c r="X13" s="31"/>
      <c r="Y13" s="31"/>
      <c r="Z13" s="31"/>
      <c r="AA13" s="31"/>
      <c r="AB13" s="31"/>
      <c r="AC13" s="31"/>
      <c r="AD13" s="31"/>
      <c r="AE13" s="31"/>
      <c r="AF13" s="31"/>
      <c r="AG13" s="31"/>
      <c r="AH13" s="31" t="s">
        <v>748</v>
      </c>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Q13" s="31" t="s">
        <v>1826</v>
      </c>
    </row>
    <row r="14" spans="1:112">
      <c r="U14" s="31"/>
      <c r="V14" s="31"/>
      <c r="W14" s="31" t="s">
        <v>669</v>
      </c>
      <c r="X14" s="31"/>
      <c r="Y14" s="31"/>
      <c r="Z14" s="31"/>
      <c r="AA14" s="31"/>
      <c r="AB14" s="31"/>
      <c r="AC14" s="31"/>
      <c r="AD14" s="31"/>
      <c r="AE14" s="31"/>
      <c r="AF14" s="31"/>
      <c r="AG14" s="31"/>
      <c r="AH14" s="31" t="s">
        <v>749</v>
      </c>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Q14" s="31" t="s">
        <v>1831</v>
      </c>
    </row>
    <row r="15" spans="1:112">
      <c r="AA15" s="31"/>
      <c r="AB15" s="31"/>
      <c r="AC15" s="31"/>
      <c r="AD15" s="31"/>
      <c r="AE15" s="31"/>
      <c r="AF15" s="31"/>
      <c r="AG15" s="31"/>
      <c r="AH15" s="31" t="s">
        <v>750</v>
      </c>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Q15" s="31" t="s">
        <v>1837</v>
      </c>
    </row>
    <row r="16" spans="1:112">
      <c r="BQ16" s="31" t="s">
        <v>1841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3333"/>
  </sheetPr>
  <dimension ref="A1:F79"/>
  <sheetViews>
    <sheetView topLeftCell="C1" workbookViewId="0">
      <pane ySplit="2" topLeftCell="A14" activePane="bottomLeft" state="frozen"/>
      <selection pane="bottomLeft" activeCell="I16" sqref="I16:X22"/>
    </sheetView>
  </sheetViews>
  <sheetFormatPr defaultRowHeight="14.4"/>
  <cols>
    <col min="1" max="1" width="22" customWidth="1"/>
    <col min="2" max="2" width="40" customWidth="1"/>
    <col min="3" max="3" width="18" customWidth="1"/>
    <col min="4" max="4" width="40" customWidth="1"/>
    <col min="5" max="5" width="18" customWidth="1"/>
    <col min="6" max="6" width="30" customWidth="1"/>
  </cols>
  <sheetData>
    <row r="1" spans="1:6" ht="45" customHeight="1">
      <c r="A1" s="715" t="s">
        <v>247</v>
      </c>
      <c r="B1" s="705"/>
      <c r="C1" s="705"/>
      <c r="D1" s="705"/>
      <c r="E1" s="705"/>
      <c r="F1" s="705"/>
    </row>
    <row r="2" spans="1:6" ht="22.05" customHeight="1">
      <c r="A2" s="716" t="s">
        <v>248</v>
      </c>
      <c r="B2" s="705"/>
      <c r="C2" s="705"/>
      <c r="D2" s="705"/>
      <c r="E2" s="705"/>
      <c r="F2" s="705"/>
    </row>
    <row r="3" spans="1:6">
      <c r="A3" s="1"/>
      <c r="B3" s="1"/>
      <c r="C3" s="1"/>
      <c r="D3" s="1"/>
      <c r="E3" s="1"/>
      <c r="F3" s="1"/>
    </row>
    <row r="4" spans="1:6" ht="30" customHeight="1">
      <c r="A4" s="704" t="s">
        <v>249</v>
      </c>
      <c r="B4" s="705"/>
      <c r="C4" s="705"/>
      <c r="D4" s="705"/>
      <c r="E4" s="705"/>
      <c r="F4" s="705"/>
    </row>
    <row r="5" spans="1:6">
      <c r="A5" s="2" t="s">
        <v>14</v>
      </c>
      <c r="B5" s="3" t="s">
        <v>15</v>
      </c>
      <c r="C5" s="1"/>
      <c r="D5" s="1"/>
      <c r="E5" s="1"/>
      <c r="F5" s="1"/>
    </row>
    <row r="6" spans="1:6">
      <c r="A6" s="2" t="s">
        <v>250</v>
      </c>
      <c r="B6" s="3" t="s">
        <v>251</v>
      </c>
      <c r="C6" s="1"/>
      <c r="D6" s="1"/>
      <c r="E6" s="1"/>
      <c r="F6" s="1"/>
    </row>
    <row r="7" spans="1:6">
      <c r="A7" s="2" t="s">
        <v>252</v>
      </c>
      <c r="B7" s="4" t="s">
        <v>11</v>
      </c>
      <c r="C7" s="1"/>
      <c r="D7" s="1"/>
      <c r="E7" s="1"/>
      <c r="F7" s="1"/>
    </row>
    <row r="8" spans="1:6">
      <c r="A8" s="2" t="s">
        <v>253</v>
      </c>
      <c r="B8" s="3" t="s">
        <v>254</v>
      </c>
      <c r="C8" s="1"/>
      <c r="D8" s="1"/>
      <c r="E8" s="1"/>
      <c r="F8" s="1"/>
    </row>
    <row r="9" spans="1:6">
      <c r="A9" s="2" t="s">
        <v>255</v>
      </c>
      <c r="B9" s="3" t="s">
        <v>256</v>
      </c>
      <c r="C9" s="1"/>
      <c r="D9" s="1"/>
      <c r="E9" s="1"/>
      <c r="F9" s="1"/>
    </row>
    <row r="10" spans="1:6">
      <c r="A10" s="2" t="s">
        <v>257</v>
      </c>
      <c r="B10" s="3" t="s">
        <v>258</v>
      </c>
      <c r="C10" s="1"/>
      <c r="D10" s="1"/>
      <c r="E10" s="1"/>
      <c r="F10" s="1"/>
    </row>
    <row r="11" spans="1:6">
      <c r="A11" s="2" t="s">
        <v>259</v>
      </c>
      <c r="B11" s="3" t="s">
        <v>260</v>
      </c>
      <c r="C11" s="1"/>
      <c r="D11" s="1"/>
      <c r="E11" s="1"/>
      <c r="F11" s="1"/>
    </row>
    <row r="12" spans="1:6">
      <c r="A12" s="1"/>
      <c r="B12" s="1"/>
      <c r="C12" s="1"/>
      <c r="D12" s="1"/>
      <c r="E12" s="1"/>
      <c r="F12" s="1"/>
    </row>
    <row r="13" spans="1:6" ht="30" customHeight="1">
      <c r="A13" s="704" t="s">
        <v>261</v>
      </c>
      <c r="B13" s="705"/>
      <c r="C13" s="705"/>
      <c r="D13" s="705"/>
      <c r="E13" s="705"/>
      <c r="F13" s="705"/>
    </row>
    <row r="14" spans="1:6" ht="49.95" customHeight="1">
      <c r="A14" s="2" t="s">
        <v>262</v>
      </c>
      <c r="B14" s="707" t="s">
        <v>263</v>
      </c>
      <c r="C14" s="705"/>
      <c r="D14" s="705"/>
      <c r="E14" s="705"/>
      <c r="F14" s="705"/>
    </row>
    <row r="15" spans="1:6" ht="49.95" customHeight="1">
      <c r="A15" s="2" t="s">
        <v>264</v>
      </c>
      <c r="B15" s="707" t="s">
        <v>265</v>
      </c>
      <c r="C15" s="705"/>
      <c r="D15" s="705"/>
      <c r="E15" s="705"/>
      <c r="F15" s="705"/>
    </row>
    <row r="16" spans="1:6" ht="60" customHeight="1">
      <c r="A16" s="2" t="s">
        <v>266</v>
      </c>
      <c r="B16" s="707" t="s">
        <v>267</v>
      </c>
      <c r="C16" s="705"/>
      <c r="D16" s="705"/>
      <c r="E16" s="705"/>
      <c r="F16" s="705"/>
    </row>
    <row r="17" spans="1:6">
      <c r="A17" s="1"/>
      <c r="B17" s="1"/>
      <c r="C17" s="1"/>
      <c r="D17" s="1"/>
      <c r="E17" s="1"/>
      <c r="F17" s="1"/>
    </row>
    <row r="18" spans="1:6" ht="30" customHeight="1">
      <c r="A18" s="704" t="s">
        <v>268</v>
      </c>
      <c r="B18" s="705"/>
      <c r="C18" s="705"/>
      <c r="D18" s="705"/>
      <c r="E18" s="705"/>
      <c r="F18" s="705"/>
    </row>
    <row r="19" spans="1:6" ht="24" customHeight="1">
      <c r="A19" s="712" t="s">
        <v>269</v>
      </c>
      <c r="B19" s="705"/>
      <c r="C19" s="705"/>
      <c r="D19" s="705"/>
      <c r="E19" s="705"/>
      <c r="F19" s="705"/>
    </row>
    <row r="20" spans="1:6">
      <c r="A20" s="2" t="s">
        <v>270</v>
      </c>
      <c r="B20" s="707" t="s">
        <v>271</v>
      </c>
      <c r="C20" s="705"/>
      <c r="D20" s="705"/>
      <c r="E20" s="705"/>
      <c r="F20" s="705"/>
    </row>
    <row r="21" spans="1:6" ht="49.95" customHeight="1">
      <c r="A21" s="2" t="s">
        <v>272</v>
      </c>
      <c r="B21" s="707" t="s">
        <v>273</v>
      </c>
      <c r="C21" s="705"/>
      <c r="D21" s="705"/>
      <c r="E21" s="705"/>
      <c r="F21" s="705"/>
    </row>
    <row r="22" spans="1:6" ht="49.95" customHeight="1">
      <c r="A22" s="2" t="s">
        <v>274</v>
      </c>
      <c r="B22" s="707" t="s">
        <v>275</v>
      </c>
      <c r="C22" s="705"/>
      <c r="D22" s="705"/>
      <c r="E22" s="705"/>
      <c r="F22" s="705"/>
    </row>
    <row r="23" spans="1:6">
      <c r="A23" s="2" t="s">
        <v>276</v>
      </c>
      <c r="B23" s="3" t="s">
        <v>7</v>
      </c>
      <c r="C23" s="1"/>
      <c r="D23" s="1"/>
      <c r="E23" s="1"/>
      <c r="F23" s="1"/>
    </row>
    <row r="24" spans="1:6" ht="24" customHeight="1">
      <c r="A24" s="712" t="s">
        <v>277</v>
      </c>
      <c r="B24" s="705"/>
      <c r="C24" s="705"/>
      <c r="D24" s="705"/>
      <c r="E24" s="705"/>
      <c r="F24" s="705"/>
    </row>
    <row r="25" spans="1:6">
      <c r="A25" s="2" t="s">
        <v>270</v>
      </c>
      <c r="B25" s="707" t="s">
        <v>271</v>
      </c>
      <c r="C25" s="705"/>
      <c r="D25" s="705"/>
      <c r="E25" s="705"/>
      <c r="F25" s="705"/>
    </row>
    <row r="26" spans="1:6" ht="49.95" customHeight="1">
      <c r="A26" s="2" t="s">
        <v>272</v>
      </c>
      <c r="B26" s="707" t="s">
        <v>273</v>
      </c>
      <c r="C26" s="705"/>
      <c r="D26" s="705"/>
      <c r="E26" s="705"/>
      <c r="F26" s="705"/>
    </row>
    <row r="27" spans="1:6" ht="49.95" customHeight="1">
      <c r="A27" s="2" t="s">
        <v>274</v>
      </c>
      <c r="B27" s="707" t="s">
        <v>275</v>
      </c>
      <c r="C27" s="705"/>
      <c r="D27" s="705"/>
      <c r="E27" s="705"/>
      <c r="F27" s="705"/>
    </row>
    <row r="28" spans="1:6">
      <c r="A28" s="2" t="s">
        <v>276</v>
      </c>
      <c r="B28" s="3" t="s">
        <v>7</v>
      </c>
      <c r="C28" s="1"/>
      <c r="D28" s="1"/>
      <c r="E28" s="1"/>
      <c r="F28" s="1"/>
    </row>
    <row r="29" spans="1:6" ht="24" customHeight="1">
      <c r="A29" s="712" t="s">
        <v>278</v>
      </c>
      <c r="B29" s="705"/>
      <c r="C29" s="705"/>
      <c r="D29" s="705"/>
      <c r="E29" s="705"/>
      <c r="F29" s="705"/>
    </row>
    <row r="30" spans="1:6">
      <c r="A30" s="2" t="s">
        <v>270</v>
      </c>
      <c r="B30" s="707" t="s">
        <v>271</v>
      </c>
      <c r="C30" s="705"/>
      <c r="D30" s="705"/>
      <c r="E30" s="705"/>
      <c r="F30" s="705"/>
    </row>
    <row r="31" spans="1:6" ht="49.95" customHeight="1">
      <c r="A31" s="2" t="s">
        <v>272</v>
      </c>
      <c r="B31" s="707" t="s">
        <v>273</v>
      </c>
      <c r="C31" s="705"/>
      <c r="D31" s="705"/>
      <c r="E31" s="705"/>
      <c r="F31" s="705"/>
    </row>
    <row r="32" spans="1:6" ht="49.95" customHeight="1">
      <c r="A32" s="2" t="s">
        <v>274</v>
      </c>
      <c r="B32" s="707" t="s">
        <v>275</v>
      </c>
      <c r="C32" s="705"/>
      <c r="D32" s="705"/>
      <c r="E32" s="705"/>
      <c r="F32" s="705"/>
    </row>
    <row r="33" spans="1:6">
      <c r="A33" s="2" t="s">
        <v>276</v>
      </c>
      <c r="B33" s="3" t="s">
        <v>7</v>
      </c>
      <c r="C33" s="1"/>
      <c r="D33" s="1"/>
      <c r="E33" s="1"/>
      <c r="F33" s="1"/>
    </row>
    <row r="34" spans="1:6" ht="24" customHeight="1">
      <c r="A34" s="712" t="s">
        <v>279</v>
      </c>
      <c r="B34" s="705"/>
      <c r="C34" s="705"/>
      <c r="D34" s="705"/>
      <c r="E34" s="705"/>
      <c r="F34" s="705"/>
    </row>
    <row r="35" spans="1:6">
      <c r="A35" s="2" t="s">
        <v>270</v>
      </c>
      <c r="B35" s="707" t="s">
        <v>271</v>
      </c>
      <c r="C35" s="705"/>
      <c r="D35" s="705"/>
      <c r="E35" s="705"/>
      <c r="F35" s="705"/>
    </row>
    <row r="36" spans="1:6" ht="49.95" customHeight="1">
      <c r="A36" s="2" t="s">
        <v>272</v>
      </c>
      <c r="B36" s="707" t="s">
        <v>273</v>
      </c>
      <c r="C36" s="705"/>
      <c r="D36" s="705"/>
      <c r="E36" s="705"/>
      <c r="F36" s="705"/>
    </row>
    <row r="37" spans="1:6" ht="49.95" customHeight="1">
      <c r="A37" s="2" t="s">
        <v>274</v>
      </c>
      <c r="B37" s="707" t="s">
        <v>275</v>
      </c>
      <c r="C37" s="705"/>
      <c r="D37" s="705"/>
      <c r="E37" s="705"/>
      <c r="F37" s="705"/>
    </row>
    <row r="38" spans="1:6">
      <c r="A38" s="2" t="s">
        <v>276</v>
      </c>
      <c r="B38" s="3" t="s">
        <v>7</v>
      </c>
      <c r="C38" s="1"/>
      <c r="D38" s="1"/>
      <c r="E38" s="1"/>
      <c r="F38" s="1"/>
    </row>
    <row r="39" spans="1:6" ht="24" customHeight="1">
      <c r="A39" s="712" t="s">
        <v>280</v>
      </c>
      <c r="B39" s="705"/>
      <c r="C39" s="705"/>
      <c r="D39" s="705"/>
      <c r="E39" s="705"/>
      <c r="F39" s="705"/>
    </row>
    <row r="40" spans="1:6">
      <c r="A40" s="2" t="s">
        <v>270</v>
      </c>
      <c r="B40" s="707" t="s">
        <v>271</v>
      </c>
      <c r="C40" s="705"/>
      <c r="D40" s="705"/>
      <c r="E40" s="705"/>
      <c r="F40" s="705"/>
    </row>
    <row r="41" spans="1:6" ht="49.95" customHeight="1">
      <c r="A41" s="2" t="s">
        <v>272</v>
      </c>
      <c r="B41" s="707" t="s">
        <v>273</v>
      </c>
      <c r="C41" s="705"/>
      <c r="D41" s="705"/>
      <c r="E41" s="705"/>
      <c r="F41" s="705"/>
    </row>
    <row r="42" spans="1:6" ht="49.95" customHeight="1">
      <c r="A42" s="2" t="s">
        <v>274</v>
      </c>
      <c r="B42" s="707" t="s">
        <v>275</v>
      </c>
      <c r="C42" s="705"/>
      <c r="D42" s="705"/>
      <c r="E42" s="705"/>
      <c r="F42" s="705"/>
    </row>
    <row r="43" spans="1:6">
      <c r="A43" s="2" t="s">
        <v>276</v>
      </c>
      <c r="B43" s="3" t="s">
        <v>7</v>
      </c>
      <c r="C43" s="1"/>
      <c r="D43" s="1"/>
      <c r="E43" s="1"/>
      <c r="F43" s="1"/>
    </row>
    <row r="44" spans="1:6">
      <c r="A44" s="1"/>
      <c r="B44" s="1"/>
      <c r="C44" s="1"/>
      <c r="D44" s="1"/>
      <c r="E44" s="1"/>
      <c r="F44" s="1"/>
    </row>
    <row r="45" spans="1:6" ht="30" customHeight="1">
      <c r="A45" s="704" t="s">
        <v>281</v>
      </c>
      <c r="B45" s="705"/>
      <c r="C45" s="705"/>
      <c r="D45" s="705"/>
      <c r="E45" s="705"/>
      <c r="F45" s="705"/>
    </row>
    <row r="46" spans="1:6">
      <c r="A46" s="7" t="s">
        <v>84</v>
      </c>
      <c r="B46" s="7" t="s">
        <v>282</v>
      </c>
      <c r="C46" s="7" t="s">
        <v>283</v>
      </c>
      <c r="D46" s="7" t="s">
        <v>126</v>
      </c>
      <c r="E46" s="7" t="s">
        <v>129</v>
      </c>
      <c r="F46" s="1"/>
    </row>
    <row r="47" spans="1:6">
      <c r="A47" s="6">
        <v>1</v>
      </c>
      <c r="B47" s="4"/>
      <c r="C47" s="4"/>
      <c r="D47" s="3" t="s">
        <v>7</v>
      </c>
      <c r="E47" s="3" t="s">
        <v>7</v>
      </c>
      <c r="F47" s="1"/>
    </row>
    <row r="48" spans="1:6">
      <c r="A48" s="6">
        <v>2</v>
      </c>
      <c r="B48" s="4"/>
      <c r="C48" s="4"/>
      <c r="D48" s="3" t="s">
        <v>7</v>
      </c>
      <c r="E48" s="3" t="s">
        <v>7</v>
      </c>
      <c r="F48" s="1"/>
    </row>
    <row r="49" spans="1:6">
      <c r="A49" s="6">
        <v>3</v>
      </c>
      <c r="B49" s="4"/>
      <c r="C49" s="4"/>
      <c r="D49" s="3" t="s">
        <v>7</v>
      </c>
      <c r="E49" s="3" t="s">
        <v>7</v>
      </c>
      <c r="F49" s="1"/>
    </row>
    <row r="50" spans="1:6">
      <c r="A50" s="6">
        <v>4</v>
      </c>
      <c r="B50" s="4"/>
      <c r="C50" s="4"/>
      <c r="D50" s="3" t="s">
        <v>7</v>
      </c>
      <c r="E50" s="3" t="s">
        <v>7</v>
      </c>
      <c r="F50" s="1"/>
    </row>
    <row r="51" spans="1:6">
      <c r="A51" s="1"/>
      <c r="B51" s="1"/>
      <c r="C51" s="1"/>
      <c r="D51" s="1"/>
      <c r="E51" s="1"/>
      <c r="F51" s="1"/>
    </row>
    <row r="52" spans="1:6" ht="30" customHeight="1">
      <c r="A52" s="704" t="s">
        <v>284</v>
      </c>
      <c r="B52" s="705"/>
      <c r="C52" s="705"/>
      <c r="D52" s="705"/>
      <c r="E52" s="705"/>
      <c r="F52" s="705"/>
    </row>
    <row r="53" spans="1:6">
      <c r="A53" s="9" t="s">
        <v>84</v>
      </c>
      <c r="B53" s="9" t="s">
        <v>285</v>
      </c>
      <c r="C53" s="9" t="s">
        <v>286</v>
      </c>
      <c r="D53" s="9" t="s">
        <v>287</v>
      </c>
      <c r="E53" s="1"/>
      <c r="F53" s="1"/>
    </row>
    <row r="54" spans="1:6" ht="40.049999999999997" customHeight="1">
      <c r="A54" s="6">
        <v>1</v>
      </c>
      <c r="B54" s="4"/>
      <c r="C54" s="4"/>
      <c r="D54" s="714"/>
      <c r="E54" s="705"/>
      <c r="F54" s="705"/>
    </row>
    <row r="55" spans="1:6" ht="40.049999999999997" customHeight="1">
      <c r="A55" s="6">
        <v>2</v>
      </c>
      <c r="B55" s="4"/>
      <c r="C55" s="4"/>
      <c r="D55" s="714"/>
      <c r="E55" s="705"/>
      <c r="F55" s="705"/>
    </row>
    <row r="56" spans="1:6" ht="40.049999999999997" customHeight="1">
      <c r="A56" s="6">
        <v>3</v>
      </c>
      <c r="B56" s="4"/>
      <c r="C56" s="4"/>
      <c r="D56" s="714"/>
      <c r="E56" s="705"/>
      <c r="F56" s="705"/>
    </row>
    <row r="57" spans="1:6" ht="40.049999999999997" customHeight="1">
      <c r="A57" s="6">
        <v>4</v>
      </c>
      <c r="B57" s="4"/>
      <c r="C57" s="4"/>
      <c r="D57" s="714"/>
      <c r="E57" s="705"/>
      <c r="F57" s="705"/>
    </row>
    <row r="58" spans="1:6">
      <c r="A58" s="1"/>
      <c r="B58" s="1"/>
      <c r="C58" s="1"/>
      <c r="D58" s="1"/>
      <c r="E58" s="1"/>
      <c r="F58" s="1"/>
    </row>
    <row r="59" spans="1:6" ht="30" customHeight="1">
      <c r="A59" s="704" t="s">
        <v>288</v>
      </c>
      <c r="B59" s="705"/>
      <c r="C59" s="705"/>
      <c r="D59" s="705"/>
      <c r="E59" s="705"/>
      <c r="F59" s="705"/>
    </row>
    <row r="60" spans="1:6">
      <c r="A60" s="2" t="s">
        <v>289</v>
      </c>
      <c r="B60" s="3" t="s">
        <v>7</v>
      </c>
      <c r="C60" s="1"/>
      <c r="D60" s="1"/>
      <c r="E60" s="1"/>
      <c r="F60" s="1"/>
    </row>
    <row r="61" spans="1:6" ht="40.049999999999997" customHeight="1">
      <c r="A61" s="2" t="s">
        <v>290</v>
      </c>
      <c r="B61" s="707" t="s">
        <v>291</v>
      </c>
      <c r="C61" s="705"/>
      <c r="D61" s="705"/>
      <c r="E61" s="705"/>
      <c r="F61" s="705"/>
    </row>
    <row r="62" spans="1:6" ht="40.049999999999997" customHeight="1">
      <c r="A62" s="2" t="s">
        <v>292</v>
      </c>
      <c r="B62" s="707" t="s">
        <v>293</v>
      </c>
      <c r="C62" s="705"/>
      <c r="D62" s="705"/>
      <c r="E62" s="705"/>
      <c r="F62" s="705"/>
    </row>
    <row r="63" spans="1:6" ht="40.049999999999997" customHeight="1">
      <c r="A63" s="2" t="s">
        <v>294</v>
      </c>
      <c r="B63" s="707" t="s">
        <v>295</v>
      </c>
      <c r="C63" s="705"/>
      <c r="D63" s="705"/>
      <c r="E63" s="705"/>
      <c r="F63" s="705"/>
    </row>
    <row r="64" spans="1:6" ht="40.049999999999997" customHeight="1">
      <c r="A64" s="2" t="s">
        <v>296</v>
      </c>
      <c r="B64" s="707" t="s">
        <v>297</v>
      </c>
      <c r="C64" s="705"/>
      <c r="D64" s="705"/>
      <c r="E64" s="705"/>
      <c r="F64" s="705"/>
    </row>
    <row r="65" spans="1:6">
      <c r="A65" s="1"/>
      <c r="B65" s="1"/>
      <c r="C65" s="1"/>
      <c r="D65" s="1"/>
      <c r="E65" s="1"/>
      <c r="F65" s="1"/>
    </row>
    <row r="66" spans="1:6">
      <c r="A66" s="1"/>
      <c r="B66" s="1"/>
      <c r="C66" s="1"/>
      <c r="D66" s="1"/>
      <c r="E66" s="1"/>
      <c r="F66" s="1"/>
    </row>
    <row r="67" spans="1:6">
      <c r="A67" s="1"/>
      <c r="B67" s="1"/>
      <c r="C67" s="1"/>
      <c r="D67" s="1"/>
      <c r="E67" s="1"/>
      <c r="F67" s="1"/>
    </row>
    <row r="68" spans="1:6">
      <c r="A68" s="1"/>
      <c r="B68" s="1"/>
      <c r="C68" s="1"/>
      <c r="D68" s="1"/>
      <c r="E68" s="1"/>
      <c r="F68" s="1"/>
    </row>
    <row r="69" spans="1:6">
      <c r="A69" s="1"/>
      <c r="B69" s="1"/>
      <c r="C69" s="1"/>
      <c r="D69" s="1"/>
      <c r="E69" s="1"/>
      <c r="F69" s="1"/>
    </row>
    <row r="70" spans="1:6">
      <c r="A70" s="1"/>
      <c r="B70" s="1"/>
      <c r="C70" s="1"/>
      <c r="D70" s="1"/>
      <c r="E70" s="1"/>
      <c r="F70" s="1"/>
    </row>
    <row r="71" spans="1:6">
      <c r="A71" s="1"/>
      <c r="B71" s="1"/>
      <c r="C71" s="1"/>
      <c r="D71" s="1"/>
      <c r="E71" s="1"/>
      <c r="F71" s="1"/>
    </row>
    <row r="72" spans="1:6">
      <c r="A72" s="1"/>
      <c r="B72" s="1"/>
      <c r="C72" s="1"/>
      <c r="D72" s="1"/>
      <c r="E72" s="1"/>
      <c r="F72" s="1"/>
    </row>
    <row r="73" spans="1:6">
      <c r="A73" s="1"/>
      <c r="B73" s="1"/>
      <c r="C73" s="1"/>
      <c r="D73" s="1"/>
      <c r="E73" s="1"/>
      <c r="F73" s="1"/>
    </row>
    <row r="74" spans="1:6">
      <c r="A74" s="1"/>
      <c r="B74" s="1"/>
      <c r="C74" s="1"/>
      <c r="D74" s="1"/>
      <c r="E74" s="1"/>
      <c r="F74" s="1"/>
    </row>
    <row r="75" spans="1:6">
      <c r="A75" s="1"/>
      <c r="B75" s="1"/>
      <c r="C75" s="1"/>
      <c r="D75" s="1"/>
      <c r="E75" s="1"/>
      <c r="F75" s="1"/>
    </row>
    <row r="76" spans="1:6">
      <c r="A76" s="1"/>
      <c r="B76" s="1"/>
      <c r="C76" s="1"/>
      <c r="D76" s="1"/>
      <c r="E76" s="1"/>
      <c r="F76" s="1"/>
    </row>
    <row r="77" spans="1:6">
      <c r="A77" s="1"/>
      <c r="B77" s="1"/>
      <c r="C77" s="1"/>
      <c r="D77" s="1"/>
      <c r="E77" s="1"/>
      <c r="F77" s="1"/>
    </row>
    <row r="78" spans="1:6">
      <c r="A78" s="1"/>
      <c r="B78" s="1"/>
      <c r="C78" s="1"/>
      <c r="D78" s="1"/>
      <c r="E78" s="1"/>
      <c r="F78" s="1"/>
    </row>
    <row r="79" spans="1:6">
      <c r="A79" s="1"/>
      <c r="B79" s="1"/>
      <c r="C79" s="1"/>
      <c r="D79" s="1"/>
      <c r="E79" s="1"/>
      <c r="F79" s="1"/>
    </row>
  </sheetData>
  <mergeCells count="39">
    <mergeCell ref="B64:F64"/>
    <mergeCell ref="A1:F1"/>
    <mergeCell ref="A45:F45"/>
    <mergeCell ref="B63:F63"/>
    <mergeCell ref="B36:F36"/>
    <mergeCell ref="B32:F32"/>
    <mergeCell ref="B26:F26"/>
    <mergeCell ref="B41:F41"/>
    <mergeCell ref="D57:F57"/>
    <mergeCell ref="B35:F35"/>
    <mergeCell ref="A2:F2"/>
    <mergeCell ref="B42:F42"/>
    <mergeCell ref="D56:F56"/>
    <mergeCell ref="B61:F61"/>
    <mergeCell ref="A4:F4"/>
    <mergeCell ref="B14:F14"/>
    <mergeCell ref="A13:F13"/>
    <mergeCell ref="A19:F19"/>
    <mergeCell ref="D54:F54"/>
    <mergeCell ref="B37:F37"/>
    <mergeCell ref="A34:F34"/>
    <mergeCell ref="A39:F39"/>
    <mergeCell ref="B40:F40"/>
    <mergeCell ref="B16:F16"/>
    <mergeCell ref="B15:F15"/>
    <mergeCell ref="B62:F62"/>
    <mergeCell ref="B25:F25"/>
    <mergeCell ref="B31:F31"/>
    <mergeCell ref="A18:F18"/>
    <mergeCell ref="B22:F22"/>
    <mergeCell ref="B27:F27"/>
    <mergeCell ref="B21:F21"/>
    <mergeCell ref="A59:F59"/>
    <mergeCell ref="A24:F24"/>
    <mergeCell ref="B30:F30"/>
    <mergeCell ref="B20:F20"/>
    <mergeCell ref="A29:F29"/>
    <mergeCell ref="D55:F55"/>
    <mergeCell ref="A52:F52"/>
  </mergeCell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promptTitle="Options" prompt="Click to select" xr:uid="{00000000-0002-0000-0200-000000000000}">
          <x14:formula1>
            <xm:f>DROPDOWNS!$O$2:$O$6</xm:f>
          </x14:formula1>
          <xm:sqref>B23 B43 B38 B33 B28</xm:sqref>
        </x14:dataValidation>
        <x14:dataValidation type="list" allowBlank="1" showInputMessage="1" promptTitle="Options" prompt="Click to select" xr:uid="{00000000-0002-0000-0200-000005000000}">
          <x14:formula1>
            <xm:f>DROPDOWNS!$N$2:$N$5</xm:f>
          </x14:formula1>
          <xm:sqref>D47:D50</xm:sqref>
        </x14:dataValidation>
        <x14:dataValidation type="list" allowBlank="1" showInputMessage="1" promptTitle="Options" prompt="Click to select" xr:uid="{00000000-0002-0000-0200-000006000000}">
          <x14:formula1>
            <xm:f>DROPDOWNS!$Q$2:$Q$5</xm:f>
          </x14:formula1>
          <xm:sqref>E47:E50</xm:sqref>
        </x14:dataValidation>
        <x14:dataValidation type="list" allowBlank="1" showInputMessage="1" promptTitle="Options" prompt="Click to select" xr:uid="{00000000-0002-0000-0200-00000D000000}">
          <x14:formula1>
            <xm:f>DROPDOWNS!$P$2:$P$4</xm:f>
          </x14:formula1>
          <xm:sqref>B60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C3B3C-2990-4616-B201-05C7E8900CA4}">
  <dimension ref="A1:E71"/>
  <sheetViews>
    <sheetView topLeftCell="A34" workbookViewId="0">
      <selection sqref="A1:E1"/>
    </sheetView>
  </sheetViews>
  <sheetFormatPr defaultRowHeight="14.4"/>
  <cols>
    <col min="1" max="1" width="33.33203125" customWidth="1"/>
    <col min="2" max="2" width="77.77734375" customWidth="1"/>
    <col min="3" max="4" width="37" customWidth="1"/>
    <col min="5" max="5" width="27.77734375" customWidth="1"/>
  </cols>
  <sheetData>
    <row r="1" spans="1:5" ht="30" customHeight="1">
      <c r="A1" s="717" t="s">
        <v>299</v>
      </c>
      <c r="B1" s="717"/>
      <c r="C1" s="717"/>
      <c r="D1" s="717"/>
      <c r="E1" s="717"/>
    </row>
    <row r="2" spans="1:5" ht="18" customHeight="1">
      <c r="A2" s="718" t="s">
        <v>300</v>
      </c>
      <c r="B2" s="718"/>
      <c r="C2" s="718"/>
      <c r="D2" s="718"/>
      <c r="E2" s="718"/>
    </row>
    <row r="3" spans="1:5" ht="7.95" customHeight="1">
      <c r="A3" s="32"/>
      <c r="B3" s="32"/>
      <c r="C3" s="32"/>
      <c r="D3" s="32"/>
      <c r="E3" s="32"/>
    </row>
    <row r="4" spans="1:5" ht="22.05" customHeight="1">
      <c r="A4" s="33" t="s">
        <v>20</v>
      </c>
      <c r="B4" s="34"/>
      <c r="C4" s="32"/>
      <c r="D4" s="32"/>
      <c r="E4" s="32"/>
    </row>
    <row r="5" spans="1:5">
      <c r="A5" s="35" t="s">
        <v>301</v>
      </c>
      <c r="B5" s="36" t="s">
        <v>302</v>
      </c>
      <c r="C5" s="32"/>
      <c r="D5" s="32"/>
      <c r="E5" s="32"/>
    </row>
    <row r="6" spans="1:5">
      <c r="A6" s="35" t="s">
        <v>303</v>
      </c>
      <c r="B6" s="36" t="s">
        <v>304</v>
      </c>
      <c r="C6" s="32"/>
      <c r="D6" s="32"/>
      <c r="E6" s="32"/>
    </row>
    <row r="7" spans="1:5" ht="7.95" customHeight="1">
      <c r="A7" s="37"/>
      <c r="B7" s="37"/>
      <c r="C7" s="32"/>
      <c r="D7" s="32"/>
      <c r="E7" s="32"/>
    </row>
    <row r="8" spans="1:5" ht="22.05" customHeight="1">
      <c r="A8" s="33" t="s">
        <v>305</v>
      </c>
      <c r="B8" s="34"/>
      <c r="C8" s="32"/>
      <c r="D8" s="32"/>
      <c r="E8" s="32"/>
    </row>
    <row r="9" spans="1:5">
      <c r="A9" s="38" t="s">
        <v>306</v>
      </c>
      <c r="B9" s="39"/>
      <c r="C9" s="32"/>
      <c r="D9" s="32"/>
      <c r="E9" s="32"/>
    </row>
    <row r="10" spans="1:5" ht="22.8">
      <c r="A10" s="35" t="s">
        <v>307</v>
      </c>
      <c r="B10" s="36" t="s">
        <v>308</v>
      </c>
      <c r="C10" s="32"/>
      <c r="D10" s="32"/>
      <c r="E10" s="32"/>
    </row>
    <row r="11" spans="1:5">
      <c r="A11" s="35" t="s">
        <v>309</v>
      </c>
      <c r="B11" s="36" t="s">
        <v>310</v>
      </c>
      <c r="C11" s="32"/>
      <c r="D11" s="32"/>
      <c r="E11" s="32"/>
    </row>
    <row r="12" spans="1:5" ht="7.95" customHeight="1">
      <c r="A12" s="37"/>
      <c r="B12" s="37"/>
      <c r="C12" s="32"/>
      <c r="D12" s="32"/>
      <c r="E12" s="32"/>
    </row>
    <row r="13" spans="1:5">
      <c r="A13" s="38" t="s">
        <v>311</v>
      </c>
      <c r="B13" s="39"/>
      <c r="C13" s="39"/>
      <c r="D13" s="32"/>
      <c r="E13" s="32"/>
    </row>
    <row r="14" spans="1:5">
      <c r="A14" s="40" t="s">
        <v>312</v>
      </c>
      <c r="B14" s="41" t="s">
        <v>313</v>
      </c>
      <c r="C14" s="32"/>
      <c r="D14" s="32"/>
      <c r="E14" s="32"/>
    </row>
    <row r="15" spans="1:5">
      <c r="A15" s="35" t="s">
        <v>39</v>
      </c>
      <c r="B15" s="42" t="s">
        <v>7</v>
      </c>
      <c r="C15" s="32"/>
      <c r="D15" s="32"/>
      <c r="E15" s="32"/>
    </row>
    <row r="16" spans="1:5">
      <c r="A16" s="35" t="s">
        <v>314</v>
      </c>
      <c r="B16" s="36" t="s">
        <v>315</v>
      </c>
      <c r="C16" s="32"/>
      <c r="D16" s="32"/>
      <c r="E16" s="32"/>
    </row>
    <row r="17" spans="1:5">
      <c r="A17" s="35" t="s">
        <v>316</v>
      </c>
      <c r="B17" s="36" t="s">
        <v>317</v>
      </c>
      <c r="C17" s="32"/>
      <c r="D17" s="32"/>
      <c r="E17" s="32"/>
    </row>
    <row r="18" spans="1:5">
      <c r="A18" s="35" t="s">
        <v>318</v>
      </c>
      <c r="B18" s="36" t="s">
        <v>319</v>
      </c>
      <c r="C18" s="32"/>
      <c r="D18" s="32"/>
      <c r="E18" s="32"/>
    </row>
    <row r="19" spans="1:5" ht="7.95" customHeight="1">
      <c r="A19" s="37"/>
      <c r="B19" s="37"/>
      <c r="C19" s="32"/>
      <c r="D19" s="32"/>
      <c r="E19" s="32"/>
    </row>
    <row r="20" spans="1:5" ht="22.05" customHeight="1">
      <c r="A20" s="33" t="s">
        <v>320</v>
      </c>
      <c r="B20" s="34"/>
      <c r="C20" s="32"/>
      <c r="D20" s="32"/>
      <c r="E20" s="32"/>
    </row>
    <row r="21" spans="1:5">
      <c r="A21" s="38" t="s">
        <v>321</v>
      </c>
      <c r="B21" s="39"/>
      <c r="C21" s="32"/>
      <c r="D21" s="32"/>
      <c r="E21" s="32"/>
    </row>
    <row r="22" spans="1:5">
      <c r="A22" s="35" t="s">
        <v>322</v>
      </c>
      <c r="B22" s="36" t="s">
        <v>323</v>
      </c>
      <c r="C22" s="32"/>
      <c r="D22" s="32"/>
      <c r="E22" s="32"/>
    </row>
    <row r="23" spans="1:5">
      <c r="A23" s="35" t="s">
        <v>324</v>
      </c>
      <c r="B23" s="36" t="s">
        <v>323</v>
      </c>
      <c r="C23" s="32"/>
      <c r="D23" s="32"/>
      <c r="E23" s="32"/>
    </row>
    <row r="24" spans="1:5">
      <c r="A24" s="35" t="s">
        <v>325</v>
      </c>
      <c r="B24" s="36" t="s">
        <v>323</v>
      </c>
      <c r="C24" s="32"/>
      <c r="D24" s="32"/>
      <c r="E24" s="32"/>
    </row>
    <row r="25" spans="1:5" ht="7.95" customHeight="1">
      <c r="A25" s="43"/>
      <c r="B25" s="43"/>
      <c r="C25" s="32"/>
      <c r="D25" s="32"/>
      <c r="E25" s="32"/>
    </row>
    <row r="26" spans="1:5">
      <c r="A26" s="44" t="s">
        <v>326</v>
      </c>
      <c r="B26" s="45" t="s">
        <v>327</v>
      </c>
      <c r="C26" s="32"/>
      <c r="D26" s="32"/>
      <c r="E26" s="32"/>
    </row>
    <row r="27" spans="1:5" ht="7.95" customHeight="1">
      <c r="A27" s="37"/>
      <c r="B27" s="37"/>
      <c r="C27" s="32"/>
      <c r="D27" s="32"/>
      <c r="E27" s="32"/>
    </row>
    <row r="28" spans="1:5" ht="22.05" customHeight="1">
      <c r="A28" s="33" t="s">
        <v>328</v>
      </c>
      <c r="B28" s="34"/>
      <c r="C28" s="32"/>
      <c r="D28" s="32"/>
      <c r="E28" s="32"/>
    </row>
    <row r="29" spans="1:5">
      <c r="A29" s="38" t="s">
        <v>329</v>
      </c>
      <c r="B29" s="39"/>
      <c r="C29" s="32"/>
      <c r="D29" s="32"/>
      <c r="E29" s="32"/>
    </row>
    <row r="30" spans="1:5">
      <c r="A30" s="35" t="s">
        <v>330</v>
      </c>
      <c r="B30" s="36" t="s">
        <v>331</v>
      </c>
      <c r="C30" s="32"/>
      <c r="D30" s="32"/>
      <c r="E30" s="32"/>
    </row>
    <row r="31" spans="1:5" ht="7.95" customHeight="1">
      <c r="A31" s="43"/>
      <c r="B31" s="43"/>
      <c r="C31" s="32"/>
      <c r="D31" s="32"/>
      <c r="E31" s="32"/>
    </row>
    <row r="32" spans="1:5">
      <c r="A32" s="44" t="s">
        <v>332</v>
      </c>
      <c r="B32" s="45" t="s">
        <v>333</v>
      </c>
      <c r="C32" s="32"/>
      <c r="D32" s="32"/>
      <c r="E32" s="32"/>
    </row>
    <row r="33" spans="1:5">
      <c r="A33" s="35" t="s">
        <v>334</v>
      </c>
      <c r="B33" s="36" t="s">
        <v>335</v>
      </c>
      <c r="C33" s="32"/>
      <c r="D33" s="32"/>
      <c r="E33" s="32"/>
    </row>
    <row r="34" spans="1:5">
      <c r="A34" s="35" t="s">
        <v>336</v>
      </c>
      <c r="B34" s="36" t="s">
        <v>337</v>
      </c>
      <c r="C34" s="32"/>
      <c r="D34" s="32"/>
      <c r="E34" s="32"/>
    </row>
    <row r="35" spans="1:5" ht="7.95" customHeight="1">
      <c r="A35" s="37"/>
      <c r="B35" s="37"/>
      <c r="C35" s="32"/>
      <c r="D35" s="32"/>
      <c r="E35" s="32"/>
    </row>
    <row r="36" spans="1:5" ht="22.05" customHeight="1">
      <c r="A36" s="33" t="s">
        <v>338</v>
      </c>
      <c r="B36" s="34"/>
      <c r="C36" s="34"/>
      <c r="D36" s="34"/>
      <c r="E36" s="32"/>
    </row>
    <row r="37" spans="1:5">
      <c r="A37" s="38" t="s">
        <v>339</v>
      </c>
      <c r="B37" s="39"/>
      <c r="C37" s="39"/>
      <c r="D37" s="39"/>
      <c r="E37" s="32"/>
    </row>
    <row r="38" spans="1:5">
      <c r="A38" s="40" t="s">
        <v>340</v>
      </c>
      <c r="B38" s="46" t="s">
        <v>341</v>
      </c>
      <c r="C38" s="46" t="s">
        <v>342</v>
      </c>
      <c r="D38" s="41" t="s">
        <v>343</v>
      </c>
      <c r="E38" s="32"/>
    </row>
    <row r="39" spans="1:5">
      <c r="A39" s="35" t="s">
        <v>344</v>
      </c>
      <c r="B39" s="47" t="s">
        <v>345</v>
      </c>
      <c r="C39" s="47" t="s">
        <v>345</v>
      </c>
      <c r="D39" s="42" t="s">
        <v>7</v>
      </c>
      <c r="E39" s="32"/>
    </row>
    <row r="40" spans="1:5">
      <c r="A40" s="35" t="s">
        <v>346</v>
      </c>
      <c r="B40" s="47" t="s">
        <v>347</v>
      </c>
      <c r="C40" s="47" t="s">
        <v>347</v>
      </c>
      <c r="D40" s="42" t="s">
        <v>7</v>
      </c>
      <c r="E40" s="32"/>
    </row>
    <row r="41" spans="1:5">
      <c r="A41" s="35" t="s">
        <v>348</v>
      </c>
      <c r="B41" s="47" t="s">
        <v>349</v>
      </c>
      <c r="C41" s="47" t="s">
        <v>349</v>
      </c>
      <c r="D41" s="42" t="s">
        <v>7</v>
      </c>
      <c r="E41" s="32"/>
    </row>
    <row r="42" spans="1:5">
      <c r="A42" s="35" t="s">
        <v>350</v>
      </c>
      <c r="B42" s="47" t="s">
        <v>351</v>
      </c>
      <c r="C42" s="47" t="s">
        <v>351</v>
      </c>
      <c r="D42" s="42" t="s">
        <v>7</v>
      </c>
      <c r="E42" s="32"/>
    </row>
    <row r="43" spans="1:5">
      <c r="A43" s="35" t="s">
        <v>352</v>
      </c>
      <c r="B43" s="47" t="s">
        <v>353</v>
      </c>
      <c r="C43" s="47" t="s">
        <v>353</v>
      </c>
      <c r="D43" s="42" t="s">
        <v>7</v>
      </c>
      <c r="E43" s="32"/>
    </row>
    <row r="44" spans="1:5" ht="7.95" customHeight="1">
      <c r="A44" s="37"/>
      <c r="B44" s="37"/>
      <c r="C44" s="37"/>
      <c r="D44" s="37"/>
      <c r="E44" s="32"/>
    </row>
    <row r="45" spans="1:5">
      <c r="A45" s="44" t="s">
        <v>354</v>
      </c>
      <c r="B45" s="45" t="s">
        <v>355</v>
      </c>
      <c r="C45" s="32"/>
      <c r="D45" s="32"/>
      <c r="E45" s="32"/>
    </row>
    <row r="46" spans="1:5" ht="7.95" customHeight="1">
      <c r="A46" s="37"/>
      <c r="B46" s="37"/>
      <c r="C46" s="32"/>
      <c r="D46" s="32"/>
      <c r="E46" s="32"/>
    </row>
    <row r="47" spans="1:5" ht="22.05" customHeight="1">
      <c r="A47" s="33" t="s">
        <v>356</v>
      </c>
      <c r="B47" s="34"/>
      <c r="C47" s="34"/>
      <c r="D47" s="34"/>
      <c r="E47" s="34"/>
    </row>
    <row r="48" spans="1:5">
      <c r="A48" s="38" t="s">
        <v>357</v>
      </c>
      <c r="B48" s="39"/>
      <c r="C48" s="39"/>
      <c r="D48" s="39"/>
      <c r="E48" s="39"/>
    </row>
    <row r="49" spans="1:5">
      <c r="A49" s="48" t="s">
        <v>84</v>
      </c>
      <c r="B49" s="49" t="s">
        <v>97</v>
      </c>
      <c r="C49" s="49" t="s">
        <v>98</v>
      </c>
      <c r="D49" s="50" t="s">
        <v>18</v>
      </c>
      <c r="E49" s="32"/>
    </row>
    <row r="50" spans="1:5">
      <c r="A50" s="51">
        <v>1</v>
      </c>
      <c r="B50" s="47" t="s">
        <v>358</v>
      </c>
      <c r="C50" s="47" t="s">
        <v>100</v>
      </c>
      <c r="D50" s="42" t="s">
        <v>7</v>
      </c>
      <c r="E50" s="32"/>
    </row>
    <row r="51" spans="1:5">
      <c r="A51" s="51">
        <v>2</v>
      </c>
      <c r="B51" s="47" t="s">
        <v>358</v>
      </c>
      <c r="C51" s="47" t="s">
        <v>100</v>
      </c>
      <c r="D51" s="42" t="s">
        <v>7</v>
      </c>
      <c r="E51" s="32"/>
    </row>
    <row r="52" spans="1:5" ht="7.95" customHeight="1">
      <c r="A52" s="37"/>
      <c r="B52" s="37"/>
      <c r="C52" s="37"/>
      <c r="D52" s="37"/>
      <c r="E52" s="32"/>
    </row>
    <row r="53" spans="1:5">
      <c r="A53" s="38" t="s">
        <v>359</v>
      </c>
      <c r="B53" s="39"/>
      <c r="C53" s="39"/>
      <c r="D53" s="39"/>
      <c r="E53" s="39"/>
    </row>
    <row r="54" spans="1:5">
      <c r="A54" s="48" t="s">
        <v>84</v>
      </c>
      <c r="B54" s="49" t="s">
        <v>97</v>
      </c>
      <c r="C54" s="49" t="s">
        <v>98</v>
      </c>
      <c r="D54" s="50" t="s">
        <v>18</v>
      </c>
      <c r="E54" s="32"/>
    </row>
    <row r="55" spans="1:5">
      <c r="A55" s="51">
        <v>1</v>
      </c>
      <c r="B55" s="47" t="s">
        <v>360</v>
      </c>
      <c r="C55" s="47" t="s">
        <v>100</v>
      </c>
      <c r="D55" s="42" t="s">
        <v>7</v>
      </c>
      <c r="E55" s="32"/>
    </row>
    <row r="56" spans="1:5">
      <c r="A56" s="51">
        <v>2</v>
      </c>
      <c r="B56" s="47" t="s">
        <v>360</v>
      </c>
      <c r="C56" s="47" t="s">
        <v>100</v>
      </c>
      <c r="D56" s="42" t="s">
        <v>7</v>
      </c>
      <c r="E56" s="32"/>
    </row>
    <row r="57" spans="1:5" ht="7.95" customHeight="1">
      <c r="A57" s="37"/>
      <c r="B57" s="37"/>
      <c r="C57" s="37"/>
      <c r="D57" s="37"/>
      <c r="E57" s="32"/>
    </row>
    <row r="58" spans="1:5" ht="22.05" customHeight="1">
      <c r="A58" s="33" t="s">
        <v>288</v>
      </c>
      <c r="B58" s="34"/>
      <c r="C58" s="32"/>
      <c r="D58" s="32"/>
      <c r="E58" s="32"/>
    </row>
    <row r="59" spans="1:5">
      <c r="A59" s="35" t="s">
        <v>361</v>
      </c>
      <c r="B59" s="42" t="s">
        <v>7</v>
      </c>
      <c r="C59" s="32"/>
      <c r="D59" s="32"/>
      <c r="E59" s="32"/>
    </row>
    <row r="60" spans="1:5">
      <c r="A60" s="35" t="s">
        <v>362</v>
      </c>
      <c r="B60" s="36" t="s">
        <v>363</v>
      </c>
      <c r="C60" s="32"/>
      <c r="D60" s="32"/>
      <c r="E60" s="32"/>
    </row>
    <row r="61" spans="1:5">
      <c r="A61" s="35" t="s">
        <v>364</v>
      </c>
      <c r="B61" s="36" t="s">
        <v>365</v>
      </c>
      <c r="C61" s="32"/>
      <c r="D61" s="32"/>
      <c r="E61" s="32"/>
    </row>
    <row r="62" spans="1:5" ht="7.95" customHeight="1">
      <c r="A62" s="37"/>
      <c r="B62" s="37"/>
      <c r="C62" s="32"/>
      <c r="D62" s="32"/>
      <c r="E62" s="32"/>
    </row>
    <row r="63" spans="1:5" ht="22.05" customHeight="1">
      <c r="A63" s="33" t="s">
        <v>114</v>
      </c>
      <c r="B63" s="34"/>
      <c r="C63" s="32"/>
      <c r="D63" s="32"/>
      <c r="E63" s="32"/>
    </row>
    <row r="64" spans="1:5">
      <c r="A64" s="52" t="s">
        <v>366</v>
      </c>
      <c r="B64" s="32"/>
      <c r="C64" s="32"/>
      <c r="D64" s="32"/>
      <c r="E64" s="32"/>
    </row>
    <row r="65" spans="1:5">
      <c r="A65" s="53" t="s">
        <v>367</v>
      </c>
      <c r="B65" s="32"/>
      <c r="C65" s="32"/>
      <c r="D65" s="32"/>
      <c r="E65" s="32"/>
    </row>
    <row r="66" spans="1:5">
      <c r="A66" s="53" t="s">
        <v>368</v>
      </c>
      <c r="B66" s="32"/>
      <c r="C66" s="32"/>
      <c r="D66" s="32"/>
      <c r="E66" s="32"/>
    </row>
    <row r="67" spans="1:5">
      <c r="A67" s="53" t="s">
        <v>369</v>
      </c>
      <c r="B67" s="32"/>
      <c r="C67" s="32"/>
      <c r="D67" s="32"/>
      <c r="E67" s="32"/>
    </row>
    <row r="68" spans="1:5">
      <c r="A68" s="53" t="s">
        <v>117</v>
      </c>
      <c r="B68" s="32"/>
      <c r="C68" s="32"/>
      <c r="D68" s="32"/>
      <c r="E68" s="32"/>
    </row>
    <row r="69" spans="1:5">
      <c r="A69" s="53" t="s">
        <v>370</v>
      </c>
      <c r="B69" s="32"/>
      <c r="C69" s="32"/>
      <c r="D69" s="32"/>
      <c r="E69" s="32"/>
    </row>
    <row r="70" spans="1:5">
      <c r="A70" s="53" t="s">
        <v>371</v>
      </c>
      <c r="B70" s="32"/>
      <c r="C70" s="32"/>
      <c r="D70" s="32"/>
      <c r="E70" s="32"/>
    </row>
    <row r="71" spans="1:5">
      <c r="A71" s="54" t="s">
        <v>119</v>
      </c>
      <c r="B71" s="32"/>
      <c r="C71" s="32"/>
      <c r="D71" s="32"/>
      <c r="E71" s="32"/>
    </row>
  </sheetData>
  <mergeCells count="2">
    <mergeCell ref="A1:E1"/>
    <mergeCell ref="A2:E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54D77E6-EFA3-4DD1-B69E-423171AB09B8}">
          <x14:formula1>
            <xm:f>DROPDOWNS!$A$2:$A$13</xm:f>
          </x14:formula1>
          <xm:sqref>B15</xm:sqref>
        </x14:dataValidation>
        <x14:dataValidation type="list" allowBlank="1" showInputMessage="1" showErrorMessage="1" xr:uid="{3BA67358-F5D9-47CE-8EA8-528E9DF7A9F8}">
          <x14:formula1>
            <xm:f>DROPDOWNS!$S$2:$S$5</xm:f>
          </x14:formula1>
          <xm:sqref>D39 D40 D41 D42 D43</xm:sqref>
        </x14:dataValidation>
        <x14:dataValidation type="list" allowBlank="1" showInputMessage="1" showErrorMessage="1" xr:uid="{EFFFB05B-9801-4CF6-9674-61D1A98A5D30}">
          <x14:formula1>
            <xm:f>DROPDOWNS!$I$2:$I$7</xm:f>
          </x14:formula1>
          <xm:sqref>D50 D51 D55 D56</xm:sqref>
        </x14:dataValidation>
        <x14:dataValidation type="list" allowBlank="1" showInputMessage="1" showErrorMessage="1" xr:uid="{92E7A3CF-7DF2-47E8-B0F4-BA5AC616F1F7}">
          <x14:formula1>
            <xm:f>DROPDOWNS!$T$2:$T$4</xm:f>
          </x14:formula1>
          <xm:sqref>B59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62BE-8286-4410-A9F1-72804F065A59}">
  <dimension ref="A1:W26"/>
  <sheetViews>
    <sheetView workbookViewId="0">
      <selection sqref="A1:W1"/>
    </sheetView>
  </sheetViews>
  <sheetFormatPr defaultRowHeight="14.4"/>
  <cols>
    <col min="1" max="1" width="25.88671875" customWidth="1"/>
    <col min="2" max="6" width="33.33203125" customWidth="1"/>
    <col min="7" max="7" width="18.5546875" customWidth="1"/>
    <col min="8" max="8" width="7.44140625" customWidth="1"/>
    <col min="9" max="9" width="18.5546875" customWidth="1"/>
    <col min="10" max="10" width="7.44140625" customWidth="1"/>
    <col min="11" max="11" width="18.5546875" customWidth="1"/>
    <col min="12" max="12" width="7.44140625" customWidth="1"/>
    <col min="13" max="13" width="18.5546875" customWidth="1"/>
    <col min="14" max="14" width="7.44140625" customWidth="1"/>
    <col min="15" max="15" width="18.5546875" customWidth="1"/>
    <col min="16" max="16" width="7.44140625" customWidth="1"/>
    <col min="17" max="17" width="18.5546875" customWidth="1"/>
    <col min="18" max="18" width="7.44140625" customWidth="1"/>
    <col min="19" max="19" width="18.5546875" customWidth="1"/>
    <col min="20" max="20" width="7.44140625" customWidth="1"/>
    <col min="21" max="21" width="18.5546875" customWidth="1"/>
    <col min="22" max="22" width="7.44140625" customWidth="1"/>
    <col min="23" max="23" width="46.33203125" customWidth="1"/>
  </cols>
  <sheetData>
    <row r="1" spans="1:23" ht="30" customHeight="1">
      <c r="A1" s="719" t="s">
        <v>379</v>
      </c>
      <c r="B1" s="720"/>
      <c r="C1" s="720"/>
      <c r="D1" s="720"/>
      <c r="E1" s="720"/>
      <c r="F1" s="720"/>
      <c r="G1" s="720"/>
      <c r="H1" s="720"/>
      <c r="I1" s="720"/>
      <c r="J1" s="720"/>
      <c r="K1" s="720"/>
      <c r="L1" s="720"/>
      <c r="M1" s="720"/>
      <c r="N1" s="720"/>
      <c r="O1" s="720"/>
      <c r="P1" s="720"/>
      <c r="Q1" s="720"/>
      <c r="R1" s="720"/>
      <c r="S1" s="720"/>
      <c r="T1" s="720"/>
      <c r="U1" s="720"/>
      <c r="V1" s="720"/>
      <c r="W1" s="720"/>
    </row>
    <row r="2" spans="1:23" ht="18" customHeight="1">
      <c r="A2" s="721" t="s">
        <v>380</v>
      </c>
      <c r="B2" s="721"/>
      <c r="C2" s="721"/>
      <c r="D2" s="721"/>
      <c r="E2" s="721"/>
      <c r="F2" s="721"/>
      <c r="G2" s="721"/>
      <c r="H2" s="721"/>
      <c r="I2" s="721"/>
      <c r="J2" s="721"/>
      <c r="K2" s="721"/>
      <c r="L2" s="721"/>
      <c r="M2" s="721"/>
      <c r="N2" s="721"/>
      <c r="O2" s="721"/>
      <c r="P2" s="721"/>
      <c r="Q2" s="721"/>
      <c r="R2" s="721"/>
      <c r="S2" s="721"/>
      <c r="T2" s="721"/>
      <c r="U2" s="721"/>
      <c r="V2" s="721"/>
      <c r="W2" s="721"/>
    </row>
    <row r="3" spans="1:23" ht="7.95" customHeight="1"/>
    <row r="4" spans="1:23" ht="15.6">
      <c r="A4" s="14" t="s">
        <v>381</v>
      </c>
      <c r="B4" s="15"/>
      <c r="C4" s="15"/>
      <c r="D4" s="15"/>
      <c r="E4" s="15"/>
      <c r="F4" s="15"/>
      <c r="G4" s="15"/>
      <c r="H4" s="15"/>
      <c r="I4" s="15"/>
      <c r="J4" s="15"/>
      <c r="K4" s="15"/>
      <c r="L4" s="15"/>
      <c r="M4" s="15"/>
      <c r="N4" s="15"/>
      <c r="O4" s="15"/>
      <c r="P4" s="15"/>
      <c r="Q4" s="15"/>
      <c r="R4" s="15"/>
      <c r="S4" s="15"/>
      <c r="T4" s="15"/>
      <c r="U4" s="15"/>
      <c r="V4" s="15"/>
      <c r="W4" s="15"/>
    </row>
    <row r="5" spans="1:23">
      <c r="A5" s="56" t="s">
        <v>382</v>
      </c>
      <c r="B5" s="56" t="s">
        <v>383</v>
      </c>
      <c r="C5" s="57" t="s">
        <v>384</v>
      </c>
      <c r="D5" s="57" t="s">
        <v>385</v>
      </c>
      <c r="E5" s="57" t="s">
        <v>386</v>
      </c>
      <c r="F5" s="57" t="s">
        <v>385</v>
      </c>
      <c r="G5" s="57" t="s">
        <v>387</v>
      </c>
      <c r="H5" s="57" t="s">
        <v>385</v>
      </c>
      <c r="I5" s="57" t="s">
        <v>388</v>
      </c>
      <c r="J5" s="57" t="s">
        <v>385</v>
      </c>
      <c r="K5" s="57" t="s">
        <v>389</v>
      </c>
      <c r="L5" s="57" t="s">
        <v>385</v>
      </c>
      <c r="M5" s="57" t="s">
        <v>390</v>
      </c>
      <c r="N5" s="57" t="s">
        <v>385</v>
      </c>
      <c r="O5" s="57" t="s">
        <v>391</v>
      </c>
      <c r="P5" s="57" t="s">
        <v>385</v>
      </c>
      <c r="Q5" s="57" t="s">
        <v>392</v>
      </c>
      <c r="R5" s="57" t="s">
        <v>385</v>
      </c>
      <c r="S5" s="57" t="s">
        <v>393</v>
      </c>
      <c r="T5" s="57" t="s">
        <v>385</v>
      </c>
      <c r="U5" s="57" t="s">
        <v>394</v>
      </c>
      <c r="V5" s="57" t="s">
        <v>385</v>
      </c>
      <c r="W5" s="58" t="s">
        <v>395</v>
      </c>
    </row>
    <row r="6" spans="1:23">
      <c r="A6" s="59" t="s">
        <v>396</v>
      </c>
      <c r="B6" s="62" t="s">
        <v>397</v>
      </c>
      <c r="C6" s="60" t="s">
        <v>398</v>
      </c>
      <c r="D6" s="61">
        <v>0.9</v>
      </c>
      <c r="E6" s="60" t="s">
        <v>399</v>
      </c>
      <c r="F6" s="61">
        <v>0.9</v>
      </c>
      <c r="G6" s="60" t="s">
        <v>400</v>
      </c>
      <c r="H6" s="61">
        <v>0.9</v>
      </c>
      <c r="I6" s="60" t="s">
        <v>401</v>
      </c>
      <c r="J6" s="61">
        <v>0.9</v>
      </c>
      <c r="K6" s="60" t="s">
        <v>402</v>
      </c>
      <c r="L6" s="61">
        <v>0.8</v>
      </c>
      <c r="M6" s="60" t="s">
        <v>403</v>
      </c>
      <c r="N6" s="61">
        <v>0.8</v>
      </c>
      <c r="O6" s="60" t="s">
        <v>404</v>
      </c>
      <c r="P6" s="61">
        <v>0.8</v>
      </c>
      <c r="Q6" s="60" t="s">
        <v>405</v>
      </c>
      <c r="R6" s="61">
        <v>0.7</v>
      </c>
      <c r="S6" s="60" t="s">
        <v>406</v>
      </c>
      <c r="T6" s="61">
        <v>0.7</v>
      </c>
      <c r="U6" s="60" t="s">
        <v>407</v>
      </c>
      <c r="V6" s="61">
        <v>0.7</v>
      </c>
      <c r="W6" s="63" t="s">
        <v>408</v>
      </c>
    </row>
    <row r="7" spans="1:23">
      <c r="A7" s="59" t="s">
        <v>409</v>
      </c>
      <c r="B7" s="62" t="s">
        <v>410</v>
      </c>
      <c r="C7" s="60" t="s">
        <v>411</v>
      </c>
      <c r="D7" s="61">
        <v>0.9</v>
      </c>
      <c r="E7" s="60" t="s">
        <v>412</v>
      </c>
      <c r="F7" s="61">
        <v>0.9</v>
      </c>
      <c r="G7" s="60" t="s">
        <v>413</v>
      </c>
      <c r="H7" s="61">
        <v>0.9</v>
      </c>
      <c r="I7" s="60" t="s">
        <v>414</v>
      </c>
      <c r="J7" s="61">
        <v>0.8</v>
      </c>
      <c r="K7" s="60" t="s">
        <v>415</v>
      </c>
      <c r="L7" s="61">
        <v>0.8</v>
      </c>
      <c r="M7" s="60" t="s">
        <v>416</v>
      </c>
      <c r="N7" s="61">
        <v>0.8</v>
      </c>
      <c r="O7" s="60" t="s">
        <v>417</v>
      </c>
      <c r="P7" s="61">
        <v>0.8</v>
      </c>
      <c r="Q7" s="60" t="s">
        <v>418</v>
      </c>
      <c r="R7" s="61">
        <v>0.7</v>
      </c>
      <c r="S7" s="60" t="s">
        <v>419</v>
      </c>
      <c r="T7" s="61">
        <v>0.7</v>
      </c>
      <c r="U7" s="60" t="s">
        <v>420</v>
      </c>
      <c r="V7" s="61">
        <v>0.7</v>
      </c>
      <c r="W7" s="63" t="s">
        <v>421</v>
      </c>
    </row>
    <row r="8" spans="1:23">
      <c r="A8" s="59" t="s">
        <v>422</v>
      </c>
      <c r="B8" s="62" t="s">
        <v>423</v>
      </c>
      <c r="C8" s="60" t="s">
        <v>424</v>
      </c>
      <c r="D8" s="61">
        <v>0.9</v>
      </c>
      <c r="E8" s="60" t="s">
        <v>425</v>
      </c>
      <c r="F8" s="61">
        <v>0.9</v>
      </c>
      <c r="G8" s="60" t="s">
        <v>426</v>
      </c>
      <c r="H8" s="61">
        <v>0.9</v>
      </c>
      <c r="I8" s="60" t="s">
        <v>427</v>
      </c>
      <c r="J8" s="61">
        <v>0.8</v>
      </c>
      <c r="K8" s="60" t="s">
        <v>428</v>
      </c>
      <c r="L8" s="61">
        <v>0.8</v>
      </c>
      <c r="M8" s="60" t="s">
        <v>429</v>
      </c>
      <c r="N8" s="61">
        <v>0.8</v>
      </c>
      <c r="O8" s="60" t="s">
        <v>430</v>
      </c>
      <c r="P8" s="61">
        <v>0.8</v>
      </c>
      <c r="Q8" s="60" t="s">
        <v>431</v>
      </c>
      <c r="R8" s="61">
        <v>0.7</v>
      </c>
      <c r="S8" s="60" t="s">
        <v>432</v>
      </c>
      <c r="T8" s="61">
        <v>0.7</v>
      </c>
      <c r="U8" s="60" t="s">
        <v>433</v>
      </c>
      <c r="V8" s="61">
        <v>0.7</v>
      </c>
      <c r="W8" s="63" t="s">
        <v>434</v>
      </c>
    </row>
    <row r="9" spans="1:23">
      <c r="A9" s="59" t="s">
        <v>435</v>
      </c>
      <c r="B9" s="62" t="s">
        <v>436</v>
      </c>
      <c r="C9" s="60" t="s">
        <v>437</v>
      </c>
      <c r="D9" s="61">
        <v>0.9</v>
      </c>
      <c r="E9" s="60" t="s">
        <v>438</v>
      </c>
      <c r="F9" s="61">
        <v>0.9</v>
      </c>
      <c r="G9" s="60" t="s">
        <v>439</v>
      </c>
      <c r="H9" s="61">
        <v>0.9</v>
      </c>
      <c r="I9" s="60" t="s">
        <v>440</v>
      </c>
      <c r="J9" s="61">
        <v>0.9</v>
      </c>
      <c r="K9" s="60" t="s">
        <v>441</v>
      </c>
      <c r="L9" s="61">
        <v>0.8</v>
      </c>
      <c r="M9" s="60" t="s">
        <v>442</v>
      </c>
      <c r="N9" s="61">
        <v>0.8</v>
      </c>
      <c r="O9" s="60" t="s">
        <v>443</v>
      </c>
      <c r="P9" s="61">
        <v>0.7</v>
      </c>
      <c r="Q9" s="60" t="s">
        <v>444</v>
      </c>
      <c r="R9" s="61">
        <v>0.7</v>
      </c>
      <c r="S9" s="60" t="s">
        <v>445</v>
      </c>
      <c r="T9" s="61">
        <v>0.7</v>
      </c>
      <c r="U9" s="60" t="s">
        <v>446</v>
      </c>
      <c r="V9" s="61">
        <v>0.7</v>
      </c>
      <c r="W9" s="63" t="s">
        <v>447</v>
      </c>
    </row>
    <row r="10" spans="1:23">
      <c r="A10" s="59" t="s">
        <v>448</v>
      </c>
      <c r="B10" s="62" t="s">
        <v>449</v>
      </c>
      <c r="C10" s="60" t="s">
        <v>450</v>
      </c>
      <c r="D10" s="61">
        <v>0.9</v>
      </c>
      <c r="E10" s="60" t="s">
        <v>451</v>
      </c>
      <c r="F10" s="61">
        <v>0.9</v>
      </c>
      <c r="G10" s="60" t="s">
        <v>452</v>
      </c>
      <c r="H10" s="61">
        <v>0.9</v>
      </c>
      <c r="I10" s="60" t="s">
        <v>453</v>
      </c>
      <c r="J10" s="61">
        <v>0.9</v>
      </c>
      <c r="K10" s="60" t="s">
        <v>454</v>
      </c>
      <c r="L10" s="61">
        <v>0.8</v>
      </c>
      <c r="M10" s="60" t="s">
        <v>455</v>
      </c>
      <c r="N10" s="61">
        <v>0.8</v>
      </c>
      <c r="O10" s="60" t="s">
        <v>456</v>
      </c>
      <c r="P10" s="61">
        <v>0.7</v>
      </c>
      <c r="Q10" s="60" t="s">
        <v>457</v>
      </c>
      <c r="R10" s="61">
        <v>0.7</v>
      </c>
      <c r="S10" s="60" t="s">
        <v>458</v>
      </c>
      <c r="T10" s="61">
        <v>0.7</v>
      </c>
      <c r="U10" s="60" t="s">
        <v>459</v>
      </c>
      <c r="V10" s="61">
        <v>0.7</v>
      </c>
      <c r="W10" s="63" t="s">
        <v>460</v>
      </c>
    </row>
    <row r="11" spans="1:23">
      <c r="A11" s="59" t="s">
        <v>461</v>
      </c>
      <c r="B11" s="62" t="s">
        <v>462</v>
      </c>
      <c r="C11" s="60" t="s">
        <v>463</v>
      </c>
      <c r="D11" s="61">
        <v>0.9</v>
      </c>
      <c r="E11" s="60" t="s">
        <v>464</v>
      </c>
      <c r="F11" s="61">
        <v>0.9</v>
      </c>
      <c r="G11" s="60" t="s">
        <v>465</v>
      </c>
      <c r="H11" s="61">
        <v>0.9</v>
      </c>
      <c r="I11" s="60" t="s">
        <v>466</v>
      </c>
      <c r="J11" s="61">
        <v>0.8</v>
      </c>
      <c r="K11" s="60" t="s">
        <v>467</v>
      </c>
      <c r="L11" s="61">
        <v>0.8</v>
      </c>
      <c r="M11" s="60" t="s">
        <v>468</v>
      </c>
      <c r="N11" s="61">
        <v>0.8</v>
      </c>
      <c r="O11" s="60" t="s">
        <v>469</v>
      </c>
      <c r="P11" s="61">
        <v>0.7</v>
      </c>
      <c r="Q11" s="60" t="s">
        <v>470</v>
      </c>
      <c r="R11" s="61">
        <v>0.7</v>
      </c>
      <c r="S11" s="60" t="s">
        <v>471</v>
      </c>
      <c r="T11" s="61">
        <v>0.7</v>
      </c>
      <c r="U11" s="60" t="s">
        <v>472</v>
      </c>
      <c r="V11" s="61">
        <v>0.7</v>
      </c>
      <c r="W11" s="63" t="s">
        <v>473</v>
      </c>
    </row>
    <row r="12" spans="1:23">
      <c r="A12" s="59" t="s">
        <v>474</v>
      </c>
      <c r="B12" s="62" t="s">
        <v>475</v>
      </c>
      <c r="C12" s="60" t="s">
        <v>476</v>
      </c>
      <c r="D12" s="61">
        <v>0.9</v>
      </c>
      <c r="E12" s="60" t="s">
        <v>477</v>
      </c>
      <c r="F12" s="61">
        <v>0.9</v>
      </c>
      <c r="G12" s="60" t="s">
        <v>478</v>
      </c>
      <c r="H12" s="61">
        <v>0.8</v>
      </c>
      <c r="I12" s="60" t="s">
        <v>479</v>
      </c>
      <c r="J12" s="61">
        <v>0.8</v>
      </c>
      <c r="K12" s="60" t="s">
        <v>480</v>
      </c>
      <c r="L12" s="61">
        <v>0.8</v>
      </c>
      <c r="M12" s="60" t="s">
        <v>481</v>
      </c>
      <c r="N12" s="61">
        <v>0.8</v>
      </c>
      <c r="O12" s="60" t="s">
        <v>482</v>
      </c>
      <c r="P12" s="61">
        <v>0.8</v>
      </c>
      <c r="Q12" s="60" t="s">
        <v>440</v>
      </c>
      <c r="R12" s="61">
        <v>0.7</v>
      </c>
      <c r="S12" s="60" t="s">
        <v>483</v>
      </c>
      <c r="T12" s="61">
        <v>0.7</v>
      </c>
      <c r="U12" s="60" t="s">
        <v>484</v>
      </c>
      <c r="V12" s="61">
        <v>0.7</v>
      </c>
      <c r="W12" s="63" t="s">
        <v>485</v>
      </c>
    </row>
    <row r="13" spans="1:23">
      <c r="A13" s="59" t="s">
        <v>486</v>
      </c>
      <c r="B13" s="62" t="s">
        <v>487</v>
      </c>
      <c r="C13" s="60" t="s">
        <v>488</v>
      </c>
      <c r="D13" s="61">
        <v>0.9</v>
      </c>
      <c r="E13" s="60" t="s">
        <v>489</v>
      </c>
      <c r="F13" s="61">
        <v>0.9</v>
      </c>
      <c r="G13" s="60" t="s">
        <v>490</v>
      </c>
      <c r="H13" s="61">
        <v>0.9</v>
      </c>
      <c r="I13" s="60" t="s">
        <v>491</v>
      </c>
      <c r="J13" s="61">
        <v>0.9</v>
      </c>
      <c r="K13" s="60" t="s">
        <v>492</v>
      </c>
      <c r="L13" s="61">
        <v>0.8</v>
      </c>
      <c r="M13" s="60" t="s">
        <v>493</v>
      </c>
      <c r="N13" s="61">
        <v>0.8</v>
      </c>
      <c r="O13" s="60" t="s">
        <v>494</v>
      </c>
      <c r="P13" s="61">
        <v>0.7</v>
      </c>
      <c r="Q13" s="60" t="s">
        <v>495</v>
      </c>
      <c r="R13" s="61">
        <v>0.7</v>
      </c>
      <c r="S13" s="60" t="s">
        <v>496</v>
      </c>
      <c r="T13" s="61">
        <v>0.7</v>
      </c>
      <c r="U13" s="60" t="s">
        <v>497</v>
      </c>
      <c r="V13" s="61">
        <v>0.7</v>
      </c>
      <c r="W13" s="63" t="s">
        <v>498</v>
      </c>
    </row>
    <row r="14" spans="1:23" ht="7.95" customHeight="1"/>
    <row r="15" spans="1:23" ht="15.6">
      <c r="A15" s="14" t="s">
        <v>499</v>
      </c>
      <c r="B15" s="15"/>
      <c r="C15" s="15"/>
      <c r="D15" s="15"/>
      <c r="E15" s="15"/>
      <c r="F15" s="15"/>
    </row>
    <row r="16" spans="1:23">
      <c r="A16" s="64" t="s">
        <v>500</v>
      </c>
      <c r="B16" s="20"/>
      <c r="C16" s="20"/>
      <c r="D16" s="20"/>
      <c r="E16" s="20"/>
      <c r="F16" s="20"/>
    </row>
    <row r="17" spans="1:6">
      <c r="A17" s="56" t="s">
        <v>382</v>
      </c>
      <c r="B17" s="56" t="s">
        <v>501</v>
      </c>
      <c r="C17" s="56" t="s">
        <v>502</v>
      </c>
      <c r="D17" s="56" t="s">
        <v>503</v>
      </c>
      <c r="E17" s="56" t="s">
        <v>504</v>
      </c>
      <c r="F17" s="56" t="s">
        <v>505</v>
      </c>
    </row>
    <row r="18" spans="1:6">
      <c r="A18" s="68" t="s">
        <v>396</v>
      </c>
      <c r="B18" s="69" t="s">
        <v>506</v>
      </c>
      <c r="C18" s="69" t="s">
        <v>507</v>
      </c>
      <c r="D18" s="69" t="s">
        <v>508</v>
      </c>
      <c r="E18" s="69" t="s">
        <v>509</v>
      </c>
      <c r="F18" s="69" t="s">
        <v>510</v>
      </c>
    </row>
    <row r="19" spans="1:6">
      <c r="A19" s="68" t="s">
        <v>409</v>
      </c>
      <c r="B19" s="69" t="s">
        <v>511</v>
      </c>
      <c r="C19" s="69" t="s">
        <v>512</v>
      </c>
      <c r="D19" s="69" t="s">
        <v>513</v>
      </c>
      <c r="E19" s="69" t="s">
        <v>514</v>
      </c>
      <c r="F19" s="69" t="s">
        <v>515</v>
      </c>
    </row>
    <row r="20" spans="1:6">
      <c r="A20" s="68" t="s">
        <v>422</v>
      </c>
      <c r="B20" s="69" t="s">
        <v>516</v>
      </c>
      <c r="C20" s="69" t="s">
        <v>517</v>
      </c>
      <c r="D20" s="69" t="s">
        <v>518</v>
      </c>
      <c r="E20" s="69" t="s">
        <v>519</v>
      </c>
      <c r="F20" s="69" t="s">
        <v>520</v>
      </c>
    </row>
    <row r="21" spans="1:6">
      <c r="A21" s="68" t="s">
        <v>435</v>
      </c>
      <c r="B21" s="69" t="s">
        <v>521</v>
      </c>
      <c r="C21" s="69" t="s">
        <v>522</v>
      </c>
      <c r="D21" s="69" t="s">
        <v>523</v>
      </c>
      <c r="E21" s="69" t="s">
        <v>524</v>
      </c>
      <c r="F21" s="69" t="s">
        <v>525</v>
      </c>
    </row>
    <row r="22" spans="1:6">
      <c r="A22" s="68" t="s">
        <v>448</v>
      </c>
      <c r="B22" s="69" t="s">
        <v>526</v>
      </c>
      <c r="C22" s="69" t="s">
        <v>527</v>
      </c>
      <c r="D22" s="69" t="s">
        <v>528</v>
      </c>
      <c r="E22" s="69" t="s">
        <v>529</v>
      </c>
      <c r="F22" s="69" t="s">
        <v>530</v>
      </c>
    </row>
    <row r="23" spans="1:6">
      <c r="A23" s="68" t="s">
        <v>461</v>
      </c>
      <c r="B23" s="69" t="s">
        <v>531</v>
      </c>
      <c r="C23" s="69" t="s">
        <v>532</v>
      </c>
      <c r="D23" s="69" t="s">
        <v>533</v>
      </c>
      <c r="E23" s="69" t="s">
        <v>534</v>
      </c>
      <c r="F23" s="69" t="s">
        <v>535</v>
      </c>
    </row>
    <row r="24" spans="1:6">
      <c r="A24" s="68" t="s">
        <v>474</v>
      </c>
      <c r="B24" s="69" t="s">
        <v>536</v>
      </c>
      <c r="C24" s="69" t="s">
        <v>537</v>
      </c>
      <c r="D24" s="69" t="s">
        <v>538</v>
      </c>
      <c r="E24" s="69" t="s">
        <v>539</v>
      </c>
      <c r="F24" s="69" t="s">
        <v>540</v>
      </c>
    </row>
    <row r="25" spans="1:6">
      <c r="A25" s="68" t="s">
        <v>486</v>
      </c>
      <c r="B25" s="69" t="s">
        <v>541</v>
      </c>
      <c r="C25" s="69" t="s">
        <v>542</v>
      </c>
      <c r="D25" s="69" t="s">
        <v>543</v>
      </c>
      <c r="E25" s="69" t="s">
        <v>544</v>
      </c>
      <c r="F25" s="69" t="s">
        <v>545</v>
      </c>
    </row>
    <row r="26" spans="1:6" ht="7.95" customHeight="1"/>
  </sheetData>
  <mergeCells count="2">
    <mergeCell ref="A1:W1"/>
    <mergeCell ref="A2:W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F4C3-28B4-44E7-8402-552B4624436C}">
  <dimension ref="A1:H118"/>
  <sheetViews>
    <sheetView topLeftCell="A89" workbookViewId="0">
      <selection activeCell="F38" sqref="F38"/>
    </sheetView>
  </sheetViews>
  <sheetFormatPr defaultRowHeight="14.4"/>
  <cols>
    <col min="1" max="1" width="29.6640625" customWidth="1"/>
    <col min="2" max="2" width="37" customWidth="1"/>
    <col min="3" max="8" width="18.5546875" customWidth="1"/>
  </cols>
  <sheetData>
    <row r="1" spans="1:8" ht="34.950000000000003" customHeight="1">
      <c r="A1" s="720" t="s">
        <v>546</v>
      </c>
      <c r="B1" s="722"/>
      <c r="C1" s="722"/>
      <c r="D1" s="722"/>
      <c r="E1" s="722"/>
      <c r="F1" s="722"/>
      <c r="G1" s="722"/>
      <c r="H1" s="722"/>
    </row>
    <row r="2" spans="1:8">
      <c r="A2" s="721" t="s">
        <v>547</v>
      </c>
      <c r="B2" s="721"/>
      <c r="C2" s="721"/>
      <c r="D2" s="721"/>
      <c r="E2" s="721"/>
      <c r="F2" s="721"/>
      <c r="G2" s="721"/>
      <c r="H2" s="721"/>
    </row>
    <row r="3" spans="1:8" ht="7.95" customHeight="1"/>
    <row r="4" spans="1:8" ht="15.6">
      <c r="A4" s="14" t="s">
        <v>548</v>
      </c>
      <c r="B4" s="15"/>
      <c r="C4" s="15"/>
      <c r="D4" s="15"/>
    </row>
    <row r="5" spans="1:8">
      <c r="A5" s="29" t="s">
        <v>549</v>
      </c>
      <c r="B5" s="30" t="s">
        <v>550</v>
      </c>
    </row>
    <row r="6" spans="1:8">
      <c r="A6" s="29" t="s">
        <v>551</v>
      </c>
      <c r="B6" s="105" t="str">
        <f>IFERROR(IF(C88="","",C88),"")</f>
        <v/>
      </c>
    </row>
    <row r="7" spans="1:8" ht="17.399999999999999">
      <c r="A7" s="27" t="s">
        <v>552</v>
      </c>
      <c r="B7" s="106" t="str">
        <f>IFERROR(IF(C87="","",C87),"")</f>
        <v/>
      </c>
      <c r="C7" s="25" t="s">
        <v>553</v>
      </c>
      <c r="D7" s="119" t="str">
        <f>IFERROR(IF(C85="","",C85),"")</f>
        <v/>
      </c>
    </row>
    <row r="8" spans="1:8" ht="7.95" customHeight="1"/>
    <row r="9" spans="1:8">
      <c r="A9" s="19" t="s">
        <v>554</v>
      </c>
      <c r="B9" s="20"/>
    </row>
    <row r="10" spans="1:8">
      <c r="A10" s="27" t="s">
        <v>555</v>
      </c>
      <c r="B10" s="28" t="s">
        <v>556</v>
      </c>
    </row>
    <row r="11" spans="1:8" ht="7.95" customHeight="1"/>
    <row r="12" spans="1:8">
      <c r="A12" s="107" t="s">
        <v>557</v>
      </c>
      <c r="B12" s="108" t="str">
        <f>IFERROR(IF(COUNTA(C36:C43)&lt;8,"","Q"&amp;MATCH(MAX(C36:C43),C36:C43,0)-1&amp;" — "&amp;INDEX(B36:B43,MATCH(MAX(C36:C43),C36:C43,0))&amp;" ("&amp;TEXT(MAX(C36:C43),"0.00")&amp;")"),"")</f>
        <v/>
      </c>
    </row>
    <row r="13" spans="1:8">
      <c r="A13" s="109" t="s">
        <v>558</v>
      </c>
      <c r="B13" s="110" t="str">
        <f>IFERROR(IF(COUNTA(C36:C43)&lt;8,"","Q"&amp;MATCH(MIN(C36:C43),C36:C43,0)-1&amp;" — "&amp;INDEX(B36:B43,MATCH(MIN(C36:C43),C36:C43,0))&amp;" ("&amp;TEXT(MIN(C36:C43),"0.00")&amp;")"),"")</f>
        <v/>
      </c>
    </row>
    <row r="14" spans="1:8" ht="7.95" customHeight="1"/>
    <row r="15" spans="1:8">
      <c r="A15" s="111" t="s">
        <v>559</v>
      </c>
      <c r="B15" s="112" t="s">
        <v>560</v>
      </c>
    </row>
    <row r="16" spans="1:8">
      <c r="A16" s="29" t="s">
        <v>561</v>
      </c>
      <c r="B16" s="24" t="s">
        <v>7</v>
      </c>
      <c r="C16" s="25" t="s">
        <v>562</v>
      </c>
      <c r="D16" s="113" t="s">
        <v>563</v>
      </c>
    </row>
    <row r="17" spans="1:4">
      <c r="A17" s="27" t="s">
        <v>564</v>
      </c>
      <c r="B17" s="28" t="s">
        <v>565</v>
      </c>
    </row>
    <row r="18" spans="1:4" ht="7.95" customHeight="1"/>
    <row r="19" spans="1:4">
      <c r="A19" s="19" t="s">
        <v>566</v>
      </c>
      <c r="B19" s="20"/>
      <c r="C19" s="20"/>
      <c r="D19" s="20"/>
    </row>
    <row r="20" spans="1:4">
      <c r="A20" s="116" t="s">
        <v>6</v>
      </c>
      <c r="B20" s="24" t="s">
        <v>7</v>
      </c>
      <c r="C20" s="114" t="s">
        <v>567</v>
      </c>
      <c r="D20" s="117" t="s">
        <v>563</v>
      </c>
    </row>
    <row r="21" spans="1:4">
      <c r="A21" s="66" t="s">
        <v>568</v>
      </c>
      <c r="B21" s="26" t="s">
        <v>569</v>
      </c>
      <c r="C21" s="115" t="s">
        <v>570</v>
      </c>
      <c r="D21" s="113" t="s">
        <v>563</v>
      </c>
    </row>
    <row r="22" spans="1:4" ht="15.6">
      <c r="A22" s="14" t="s">
        <v>769</v>
      </c>
      <c r="B22" s="121"/>
      <c r="C22" s="122"/>
      <c r="D22" s="123"/>
    </row>
    <row r="23" spans="1:4">
      <c r="A23" s="64" t="s">
        <v>770</v>
      </c>
      <c r="B23" s="124"/>
      <c r="C23" s="125"/>
      <c r="D23" s="126"/>
    </row>
    <row r="24" spans="1:4">
      <c r="A24" s="57" t="s">
        <v>771</v>
      </c>
      <c r="B24" s="86" t="s">
        <v>617</v>
      </c>
      <c r="C24" s="57" t="s">
        <v>772</v>
      </c>
      <c r="D24" s="120"/>
    </row>
    <row r="25" spans="1:4">
      <c r="A25" s="68" t="s">
        <v>692</v>
      </c>
      <c r="B25" s="78"/>
      <c r="C25" s="127" t="s">
        <v>773</v>
      </c>
      <c r="D25" s="120"/>
    </row>
    <row r="26" spans="1:4">
      <c r="A26" s="68" t="s">
        <v>698</v>
      </c>
      <c r="B26" s="78"/>
      <c r="C26" s="127" t="s">
        <v>774</v>
      </c>
      <c r="D26" s="120"/>
    </row>
    <row r="27" spans="1:4">
      <c r="A27" s="68" t="s">
        <v>704</v>
      </c>
      <c r="B27" s="78"/>
      <c r="C27" s="127" t="s">
        <v>775</v>
      </c>
      <c r="D27" s="120"/>
    </row>
    <row r="28" spans="1:4">
      <c r="A28" s="68" t="s">
        <v>607</v>
      </c>
      <c r="B28" s="78"/>
      <c r="C28" s="127" t="s">
        <v>776</v>
      </c>
      <c r="D28" s="120"/>
    </row>
    <row r="29" spans="1:4">
      <c r="A29" s="68" t="s">
        <v>713</v>
      </c>
      <c r="B29" s="78"/>
      <c r="C29" s="127" t="s">
        <v>777</v>
      </c>
      <c r="D29" s="120"/>
    </row>
    <row r="30" spans="1:4" ht="7.95" customHeight="1">
      <c r="A30" s="65"/>
      <c r="B30" s="17"/>
      <c r="C30" s="65"/>
      <c r="D30" s="120"/>
    </row>
    <row r="31" spans="1:4" ht="7.95" customHeight="1">
      <c r="A31" s="65"/>
      <c r="B31" s="17"/>
      <c r="C31" s="65"/>
      <c r="D31" s="120"/>
    </row>
    <row r="32" spans="1:4" ht="7.95" customHeight="1"/>
    <row r="33" spans="1:5" ht="15.6">
      <c r="A33" s="14" t="s">
        <v>571</v>
      </c>
      <c r="B33" s="15"/>
      <c r="C33" s="15"/>
      <c r="D33" s="15"/>
      <c r="E33" s="15"/>
    </row>
    <row r="34" spans="1:5">
      <c r="A34" s="19" t="s">
        <v>572</v>
      </c>
      <c r="B34" s="20"/>
      <c r="C34" s="20"/>
      <c r="D34" s="20"/>
      <c r="E34" s="20"/>
    </row>
    <row r="35" spans="1:5">
      <c r="A35" s="56" t="s">
        <v>573</v>
      </c>
      <c r="B35" s="56" t="s">
        <v>574</v>
      </c>
      <c r="C35" s="56" t="s">
        <v>575</v>
      </c>
      <c r="D35" s="56" t="s">
        <v>576</v>
      </c>
    </row>
    <row r="36" spans="1:5">
      <c r="A36" s="75" t="s">
        <v>577</v>
      </c>
      <c r="B36" s="76" t="s">
        <v>578</v>
      </c>
      <c r="C36" s="77"/>
      <c r="D36" s="118" t="s">
        <v>579</v>
      </c>
    </row>
    <row r="37" spans="1:5">
      <c r="A37" s="75" t="s">
        <v>580</v>
      </c>
      <c r="B37" s="76" t="s">
        <v>581</v>
      </c>
      <c r="C37" s="77"/>
      <c r="D37" s="118" t="s">
        <v>579</v>
      </c>
    </row>
    <row r="38" spans="1:5">
      <c r="A38" s="75" t="s">
        <v>582</v>
      </c>
      <c r="B38" s="76" t="s">
        <v>583</v>
      </c>
      <c r="C38" s="77"/>
      <c r="D38" s="118" t="s">
        <v>579</v>
      </c>
    </row>
    <row r="39" spans="1:5">
      <c r="A39" s="75" t="s">
        <v>584</v>
      </c>
      <c r="B39" s="76" t="s">
        <v>585</v>
      </c>
      <c r="C39" s="77"/>
      <c r="D39" s="118" t="s">
        <v>579</v>
      </c>
    </row>
    <row r="40" spans="1:5">
      <c r="A40" s="75" t="s">
        <v>586</v>
      </c>
      <c r="B40" s="76" t="s">
        <v>587</v>
      </c>
      <c r="C40" s="77"/>
      <c r="D40" s="118" t="s">
        <v>579</v>
      </c>
    </row>
    <row r="41" spans="1:5">
      <c r="A41" s="75" t="s">
        <v>588</v>
      </c>
      <c r="B41" s="76" t="s">
        <v>589</v>
      </c>
      <c r="C41" s="77"/>
      <c r="D41" s="118" t="s">
        <v>579</v>
      </c>
    </row>
    <row r="42" spans="1:5">
      <c r="A42" s="75" t="s">
        <v>590</v>
      </c>
      <c r="B42" s="76" t="s">
        <v>591</v>
      </c>
      <c r="C42" s="77"/>
      <c r="D42" s="118" t="s">
        <v>579</v>
      </c>
    </row>
    <row r="43" spans="1:5">
      <c r="A43" s="75" t="s">
        <v>592</v>
      </c>
      <c r="B43" s="76" t="s">
        <v>593</v>
      </c>
      <c r="C43" s="77"/>
      <c r="D43" s="118" t="s">
        <v>579</v>
      </c>
    </row>
    <row r="44" spans="1:5" ht="7.95" customHeight="1"/>
    <row r="45" spans="1:5" ht="15.6">
      <c r="A45" s="14" t="s">
        <v>594</v>
      </c>
      <c r="B45" s="15"/>
      <c r="C45" s="15"/>
      <c r="D45" s="15"/>
      <c r="E45" s="15"/>
    </row>
    <row r="46" spans="1:5">
      <c r="A46" s="19" t="s">
        <v>595</v>
      </c>
      <c r="B46" s="20"/>
      <c r="C46" s="20"/>
    </row>
    <row r="47" spans="1:5">
      <c r="A47" s="57" t="s">
        <v>596</v>
      </c>
      <c r="B47" s="57" t="s">
        <v>597</v>
      </c>
      <c r="C47" s="57" t="s">
        <v>598</v>
      </c>
      <c r="D47" s="57" t="s">
        <v>599</v>
      </c>
    </row>
    <row r="48" spans="1:5">
      <c r="A48" s="68" t="s">
        <v>600</v>
      </c>
      <c r="B48" s="80"/>
      <c r="C48" s="81">
        <v>0.4</v>
      </c>
      <c r="D48" s="81" t="str">
        <f>IF(B48="","",B48*C48)</f>
        <v/>
      </c>
    </row>
    <row r="49" spans="1:4">
      <c r="A49" s="68" t="s">
        <v>601</v>
      </c>
      <c r="B49" s="80"/>
      <c r="C49" s="81">
        <v>0.3</v>
      </c>
      <c r="D49" s="81" t="str">
        <f>IF(B49="","",B49*C49)</f>
        <v/>
      </c>
    </row>
    <row r="50" spans="1:4">
      <c r="A50" s="68" t="s">
        <v>602</v>
      </c>
      <c r="B50" s="80"/>
      <c r="C50" s="81">
        <v>0.3</v>
      </c>
      <c r="D50" s="81" t="str">
        <f>IF(B50="","",B50*C50)</f>
        <v/>
      </c>
    </row>
    <row r="51" spans="1:4">
      <c r="A51" s="82" t="s">
        <v>603</v>
      </c>
      <c r="B51" s="83" t="str">
        <f>IF(COUNTA(B48:B50)=3,D48+D49+D50,"")</f>
        <v/>
      </c>
      <c r="C51" s="84"/>
      <c r="D51" s="84"/>
    </row>
    <row r="52" spans="1:4" ht="7.95" customHeight="1"/>
    <row r="53" spans="1:4">
      <c r="A53" s="19" t="s">
        <v>604</v>
      </c>
      <c r="B53" s="20"/>
      <c r="C53" s="20"/>
    </row>
    <row r="54" spans="1:4">
      <c r="A54" s="57" t="s">
        <v>596</v>
      </c>
      <c r="B54" s="57" t="s">
        <v>597</v>
      </c>
      <c r="C54" s="57" t="s">
        <v>598</v>
      </c>
      <c r="D54" s="57" t="s">
        <v>599</v>
      </c>
    </row>
    <row r="55" spans="1:4">
      <c r="A55" s="68" t="s">
        <v>605</v>
      </c>
      <c r="B55" s="80"/>
      <c r="C55" s="81">
        <v>0.4</v>
      </c>
      <c r="D55" s="81" t="str">
        <f>IF(B55="","",B55*C55)</f>
        <v/>
      </c>
    </row>
    <row r="56" spans="1:4">
      <c r="A56" s="68" t="s">
        <v>606</v>
      </c>
      <c r="B56" s="80"/>
      <c r="C56" s="81">
        <v>0.3</v>
      </c>
      <c r="D56" s="81" t="str">
        <f>IF(B56="","",B56*C56)</f>
        <v/>
      </c>
    </row>
    <row r="57" spans="1:4">
      <c r="A57" s="68" t="s">
        <v>607</v>
      </c>
      <c r="B57" s="80"/>
      <c r="C57" s="81">
        <v>0.3</v>
      </c>
      <c r="D57" s="81" t="str">
        <f>IF(B57="","",B57*C57)</f>
        <v/>
      </c>
    </row>
    <row r="58" spans="1:4">
      <c r="A58" s="82" t="s">
        <v>608</v>
      </c>
      <c r="B58" s="83" t="str">
        <f>IF(COUNTA(B55:B57)=3,D55+D56+D57,"")</f>
        <v/>
      </c>
      <c r="C58" s="84"/>
      <c r="D58" s="84"/>
    </row>
    <row r="59" spans="1:4" ht="7.95" customHeight="1"/>
    <row r="60" spans="1:4">
      <c r="A60" s="19" t="s">
        <v>609</v>
      </c>
      <c r="B60" s="20"/>
      <c r="C60" s="20"/>
    </row>
    <row r="61" spans="1:4">
      <c r="A61" s="57" t="s">
        <v>596</v>
      </c>
      <c r="B61" s="57" t="s">
        <v>597</v>
      </c>
      <c r="C61" s="57" t="s">
        <v>598</v>
      </c>
      <c r="D61" s="57" t="s">
        <v>599</v>
      </c>
    </row>
    <row r="62" spans="1:4">
      <c r="A62" s="68" t="s">
        <v>610</v>
      </c>
      <c r="B62" s="80"/>
      <c r="C62" s="81">
        <v>0.25</v>
      </c>
      <c r="D62" s="81" t="str">
        <f>IF(B62="","",B62*C62)</f>
        <v/>
      </c>
    </row>
    <row r="63" spans="1:4">
      <c r="A63" s="68" t="s">
        <v>611</v>
      </c>
      <c r="B63" s="80"/>
      <c r="C63" s="81">
        <v>0.25</v>
      </c>
      <c r="D63" s="81" t="str">
        <f>IF(B63="","",B63*C63)</f>
        <v/>
      </c>
    </row>
    <row r="64" spans="1:4">
      <c r="A64" s="68" t="s">
        <v>612</v>
      </c>
      <c r="B64" s="80"/>
      <c r="C64" s="81">
        <v>0.25</v>
      </c>
      <c r="D64" s="81" t="str">
        <f>IF(B64="","",B64*C64)</f>
        <v/>
      </c>
    </row>
    <row r="65" spans="1:5">
      <c r="A65" s="68" t="s">
        <v>613</v>
      </c>
      <c r="B65" s="80"/>
      <c r="C65" s="81">
        <v>0.25</v>
      </c>
      <c r="D65" s="81" t="str">
        <f>IF(B65="","",B65*C65)</f>
        <v/>
      </c>
    </row>
    <row r="66" spans="1:5">
      <c r="A66" s="82" t="s">
        <v>614</v>
      </c>
      <c r="B66" s="83" t="str">
        <f>IF(COUNTA(B62:B65)=4,D62+D63+D64+D65,"")</f>
        <v/>
      </c>
      <c r="C66" s="84"/>
      <c r="D66" s="84"/>
    </row>
    <row r="67" spans="1:5" ht="7.95" customHeight="1"/>
    <row r="68" spans="1:5" ht="15.6">
      <c r="A68" s="14" t="s">
        <v>615</v>
      </c>
      <c r="B68" s="15"/>
      <c r="C68" s="15"/>
      <c r="D68" s="15"/>
      <c r="E68" s="15"/>
    </row>
    <row r="69" spans="1:5">
      <c r="A69" s="57" t="s">
        <v>616</v>
      </c>
      <c r="B69" s="57" t="s">
        <v>617</v>
      </c>
      <c r="C69" s="57" t="s">
        <v>598</v>
      </c>
    </row>
    <row r="70" spans="1:5">
      <c r="A70" s="68" t="s">
        <v>618</v>
      </c>
      <c r="B70" s="78" t="s">
        <v>7</v>
      </c>
      <c r="C70" s="85" t="str">
        <f>IFERROR(VLOOKUP(B70,A98:B106,2,FALSE),"")</f>
        <v/>
      </c>
    </row>
    <row r="71" spans="1:5">
      <c r="A71" s="68" t="s">
        <v>619</v>
      </c>
      <c r="B71" s="78" t="s">
        <v>7</v>
      </c>
      <c r="C71" s="85" t="str">
        <f>IFERROR(VLOOKUP(B71,C98:D102,2,FALSE),"")</f>
        <v/>
      </c>
    </row>
    <row r="72" spans="1:5">
      <c r="A72" s="68" t="s">
        <v>620</v>
      </c>
      <c r="B72" s="78" t="s">
        <v>7</v>
      </c>
      <c r="C72" s="85" t="str">
        <f>IFERROR(VLOOKUP(B72,E98:F110,2,FALSE),"")</f>
        <v/>
      </c>
    </row>
    <row r="73" spans="1:5">
      <c r="A73" s="68" t="s">
        <v>621</v>
      </c>
      <c r="B73" s="78" t="s">
        <v>7</v>
      </c>
      <c r="C73" s="85" t="str">
        <f>IFERROR(VLOOKUP(B73,G98:H105,2,FALSE),"")</f>
        <v/>
      </c>
    </row>
    <row r="74" spans="1:5">
      <c r="A74" s="68" t="s">
        <v>561</v>
      </c>
      <c r="B74" s="78" t="s">
        <v>7</v>
      </c>
      <c r="C74" s="85" t="str">
        <f>IFERROR(VLOOKUP(B74,A113:B118,2,FALSE),"")</f>
        <v/>
      </c>
    </row>
    <row r="75" spans="1:5" ht="7.95" customHeight="1"/>
    <row r="76" spans="1:5" ht="15.6">
      <c r="A76" s="14" t="s">
        <v>622</v>
      </c>
      <c r="B76" s="15"/>
      <c r="C76" s="15"/>
      <c r="D76" s="15"/>
    </row>
    <row r="77" spans="1:5">
      <c r="A77" s="57" t="s">
        <v>596</v>
      </c>
      <c r="B77" s="86" t="s">
        <v>88</v>
      </c>
      <c r="C77" s="57" t="s">
        <v>623</v>
      </c>
    </row>
    <row r="78" spans="1:5">
      <c r="A78" s="68" t="s">
        <v>624</v>
      </c>
      <c r="B78" s="87" t="s">
        <v>625</v>
      </c>
      <c r="C78" s="85" t="str">
        <f>IF(C43="","",C43)</f>
        <v/>
      </c>
    </row>
    <row r="79" spans="1:5">
      <c r="A79" s="68" t="s">
        <v>626</v>
      </c>
      <c r="B79" s="87" t="s">
        <v>627</v>
      </c>
      <c r="C79" s="85" t="str">
        <f>IF(C40="","",C40)</f>
        <v/>
      </c>
    </row>
    <row r="80" spans="1:5">
      <c r="A80" s="68" t="s">
        <v>628</v>
      </c>
      <c r="B80" s="87" t="s">
        <v>629</v>
      </c>
      <c r="C80" s="85" t="str">
        <f>IF(OR(C39="",B58=""),"",C39*B58)</f>
        <v/>
      </c>
    </row>
    <row r="81" spans="1:8">
      <c r="A81" s="68" t="s">
        <v>630</v>
      </c>
      <c r="B81" s="87" t="s">
        <v>631</v>
      </c>
      <c r="C81" s="85" t="str">
        <f>IF(C41="","",C41)</f>
        <v/>
      </c>
    </row>
    <row r="82" spans="1:8">
      <c r="A82" s="68" t="s">
        <v>632</v>
      </c>
      <c r="B82" s="87" t="s">
        <v>633</v>
      </c>
      <c r="C82" s="85" t="str">
        <f>IF(C42="","",C42)</f>
        <v/>
      </c>
    </row>
    <row r="83" spans="1:8">
      <c r="A83" s="68" t="s">
        <v>634</v>
      </c>
      <c r="B83" s="87" t="s">
        <v>635</v>
      </c>
      <c r="C83" s="85" t="str">
        <f>IF(C38="","",C38)</f>
        <v/>
      </c>
    </row>
    <row r="84" spans="1:8" ht="7.95" customHeight="1"/>
    <row r="85" spans="1:8">
      <c r="A85" s="88" t="s">
        <v>636</v>
      </c>
      <c r="B85" s="89" t="s">
        <v>637</v>
      </c>
      <c r="C85" s="90" t="str">
        <f>IFERROR(IF(COUNTA(C78:C83)&lt;6,"",(C78+C79+C80+C81+C82+C83)/6),"")</f>
        <v/>
      </c>
    </row>
    <row r="86" spans="1:8">
      <c r="A86" s="88" t="s">
        <v>638</v>
      </c>
      <c r="B86" s="89" t="s">
        <v>639</v>
      </c>
      <c r="C86" s="90" t="str">
        <f>IF(C74="","",C74)</f>
        <v/>
      </c>
    </row>
    <row r="87" spans="1:8" ht="28.05" customHeight="1">
      <c r="A87" s="91" t="s">
        <v>640</v>
      </c>
      <c r="B87" s="92" t="s">
        <v>641</v>
      </c>
      <c r="C87" s="93" t="str">
        <f>IFERROR(IF(OR(C85="",C86=""),"",_xlfn.LET(_xlpm.raw,C85*C86,_xlpm.capped1,IF(AND(C43&lt;&gt;"",C43&lt;0.3),MIN(_xlpm.raw,0.6),_xlpm.raw),_xlpm.capped2,IF(AND(C42&lt;&gt;"",C42&lt;0.3),MIN(_xlpm.capped1,0.7),_xlpm.capped1),MIN(_xlpm.capped2,1))),"")</f>
        <v/>
      </c>
    </row>
    <row r="88" spans="1:8">
      <c r="A88" s="94" t="s">
        <v>642</v>
      </c>
      <c r="B88" s="84"/>
      <c r="C88" s="95" t="str">
        <f>IFERROR(IF(C87="","",IF(C87&gt;=0.85,"ESTABLISHED",IF(C87&gt;=0.65,"WELL_SUPPORTED",IF(C87&gt;=0.4,"TENTATIVE",IF(C87&gt;=0.15,"SPECULATIVE","UNSUPPORTED"))))),"")</f>
        <v/>
      </c>
    </row>
    <row r="89" spans="1:8">
      <c r="A89" s="128" t="s">
        <v>778</v>
      </c>
      <c r="B89" s="129"/>
      <c r="C89" s="130"/>
      <c r="D89" s="129"/>
    </row>
    <row r="90" spans="1:8">
      <c r="A90" s="57" t="s">
        <v>779</v>
      </c>
      <c r="B90" s="57" t="s">
        <v>780</v>
      </c>
      <c r="C90" s="57" t="s">
        <v>781</v>
      </c>
      <c r="D90" s="57" t="s">
        <v>18</v>
      </c>
    </row>
    <row r="91" spans="1:8">
      <c r="A91" s="131" t="s">
        <v>737</v>
      </c>
      <c r="B91" s="132" t="s">
        <v>782</v>
      </c>
      <c r="C91" s="133" t="s">
        <v>783</v>
      </c>
      <c r="D91" s="134" t="str">
        <f>IF(B58="","",IF(B58&lt;0.3,"⚠️ ACTIVE","✅ Clear"))</f>
        <v/>
      </c>
    </row>
    <row r="92" spans="1:8">
      <c r="A92" s="131" t="s">
        <v>738</v>
      </c>
      <c r="B92" s="132" t="s">
        <v>784</v>
      </c>
      <c r="C92" s="133" t="s">
        <v>785</v>
      </c>
      <c r="D92" s="134" t="str">
        <f>IF(B66="","",IF(B66&lt;0.1,"⚠️ ACTIVE","✅ Clear"))</f>
        <v/>
      </c>
    </row>
    <row r="93" spans="1:8">
      <c r="A93" s="131" t="s">
        <v>786</v>
      </c>
      <c r="B93" s="132" t="s">
        <v>787</v>
      </c>
      <c r="C93" s="133" t="s">
        <v>788</v>
      </c>
      <c r="D93" s="134" t="str">
        <f>IF(C43="","",IF(C43&lt;0.3,"⚠️ ACTIVE","✅ Clear"))</f>
        <v/>
      </c>
    </row>
    <row r="94" spans="1:8">
      <c r="A94" s="131" t="s">
        <v>789</v>
      </c>
      <c r="B94" s="132" t="s">
        <v>790</v>
      </c>
      <c r="C94" s="133" t="s">
        <v>791</v>
      </c>
      <c r="D94" s="134" t="str">
        <f>IF(C42="","",IF(C42&lt;0.3,"⚠️ ACTIVE","✅ Clear"))</f>
        <v/>
      </c>
    </row>
    <row r="95" spans="1:8" ht="7.95" customHeight="1"/>
    <row r="96" spans="1:8" ht="15.6">
      <c r="A96" s="14" t="s">
        <v>643</v>
      </c>
      <c r="B96" s="15"/>
      <c r="C96" s="15"/>
      <c r="D96" s="15"/>
      <c r="E96" s="15"/>
      <c r="F96" s="15"/>
      <c r="G96" s="15"/>
      <c r="H96" s="15"/>
    </row>
    <row r="97" spans="1:8">
      <c r="A97" s="57" t="s">
        <v>618</v>
      </c>
      <c r="B97" s="79" t="s">
        <v>385</v>
      </c>
      <c r="C97" s="57" t="s">
        <v>644</v>
      </c>
      <c r="D97" s="79" t="s">
        <v>385</v>
      </c>
      <c r="E97" s="57" t="s">
        <v>620</v>
      </c>
      <c r="F97" s="79" t="s">
        <v>385</v>
      </c>
      <c r="G97" s="57" t="s">
        <v>621</v>
      </c>
      <c r="H97" s="57" t="s">
        <v>385</v>
      </c>
    </row>
    <row r="98" spans="1:8">
      <c r="A98" s="98" t="s">
        <v>645</v>
      </c>
      <c r="B98" s="100">
        <v>1</v>
      </c>
      <c r="C98" s="98" t="s">
        <v>654</v>
      </c>
      <c r="D98" s="100">
        <v>1</v>
      </c>
      <c r="E98" s="98" t="s">
        <v>659</v>
      </c>
      <c r="F98" s="100">
        <v>1</v>
      </c>
      <c r="G98" s="98" t="s">
        <v>670</v>
      </c>
      <c r="H98" s="99">
        <v>1</v>
      </c>
    </row>
    <row r="99" spans="1:8">
      <c r="A99" s="98" t="s">
        <v>646</v>
      </c>
      <c r="B99" s="100">
        <v>0.95</v>
      </c>
      <c r="C99" s="98" t="s">
        <v>655</v>
      </c>
      <c r="D99" s="100">
        <v>0.85</v>
      </c>
      <c r="E99" s="98" t="s">
        <v>655</v>
      </c>
      <c r="F99" s="100">
        <v>1</v>
      </c>
      <c r="G99" s="98" t="s">
        <v>671</v>
      </c>
      <c r="H99" s="99">
        <v>0.85</v>
      </c>
    </row>
    <row r="100" spans="1:8">
      <c r="A100" s="98" t="s">
        <v>647</v>
      </c>
      <c r="B100" s="100">
        <v>0.85</v>
      </c>
      <c r="C100" s="98" t="s">
        <v>656</v>
      </c>
      <c r="D100" s="100">
        <v>0.65</v>
      </c>
      <c r="E100" s="98" t="s">
        <v>660</v>
      </c>
      <c r="F100" s="100">
        <v>0.85</v>
      </c>
      <c r="G100" s="98" t="s">
        <v>672</v>
      </c>
      <c r="H100" s="99">
        <v>0.7</v>
      </c>
    </row>
    <row r="101" spans="1:8">
      <c r="A101" s="98" t="s">
        <v>648</v>
      </c>
      <c r="B101" s="100">
        <v>0.75</v>
      </c>
      <c r="C101" s="98" t="s">
        <v>657</v>
      </c>
      <c r="D101" s="100">
        <v>0.4</v>
      </c>
      <c r="E101" s="98" t="s">
        <v>661</v>
      </c>
      <c r="F101" s="100">
        <v>0.8</v>
      </c>
      <c r="G101" s="98" t="s">
        <v>673</v>
      </c>
      <c r="H101" s="99">
        <v>0.4</v>
      </c>
    </row>
    <row r="102" spans="1:8">
      <c r="A102" s="98" t="s">
        <v>649</v>
      </c>
      <c r="B102" s="100">
        <v>0.7</v>
      </c>
      <c r="C102" s="101" t="s">
        <v>658</v>
      </c>
      <c r="D102" s="103">
        <v>0</v>
      </c>
      <c r="E102" s="98" t="s">
        <v>662</v>
      </c>
      <c r="F102" s="100">
        <v>0.8</v>
      </c>
      <c r="G102" s="98" t="s">
        <v>674</v>
      </c>
      <c r="H102" s="99">
        <v>0.2</v>
      </c>
    </row>
    <row r="103" spans="1:8">
      <c r="A103" s="98" t="s">
        <v>650</v>
      </c>
      <c r="B103" s="99">
        <v>0.6</v>
      </c>
      <c r="E103" s="98" t="s">
        <v>433</v>
      </c>
      <c r="F103" s="100">
        <v>0.75</v>
      </c>
      <c r="G103" s="104" t="s">
        <v>675</v>
      </c>
      <c r="H103" s="99">
        <v>0.15</v>
      </c>
    </row>
    <row r="104" spans="1:8">
      <c r="A104" s="98" t="s">
        <v>651</v>
      </c>
      <c r="B104" s="99">
        <v>0.4</v>
      </c>
      <c r="E104" s="98" t="s">
        <v>663</v>
      </c>
      <c r="F104" s="100">
        <v>0.7</v>
      </c>
      <c r="G104" s="101" t="s">
        <v>676</v>
      </c>
      <c r="H104" s="102">
        <v>0</v>
      </c>
    </row>
    <row r="105" spans="1:8">
      <c r="A105" s="98" t="s">
        <v>652</v>
      </c>
      <c r="B105" s="99">
        <v>0.3</v>
      </c>
      <c r="E105" s="98" t="s">
        <v>664</v>
      </c>
      <c r="F105" s="100">
        <v>0.55000000000000004</v>
      </c>
      <c r="G105" s="101" t="s">
        <v>677</v>
      </c>
      <c r="H105" s="102">
        <v>0</v>
      </c>
    </row>
    <row r="106" spans="1:8">
      <c r="A106" s="98" t="s">
        <v>653</v>
      </c>
      <c r="B106" s="99">
        <v>0.2</v>
      </c>
      <c r="E106" s="98" t="s">
        <v>665</v>
      </c>
      <c r="F106" s="99">
        <v>0.4</v>
      </c>
    </row>
    <row r="107" spans="1:8">
      <c r="E107" s="98" t="s">
        <v>666</v>
      </c>
      <c r="F107" s="99">
        <v>0.3</v>
      </c>
    </row>
    <row r="108" spans="1:8">
      <c r="E108" s="98" t="s">
        <v>667</v>
      </c>
      <c r="F108" s="99">
        <v>0.25</v>
      </c>
    </row>
    <row r="109" spans="1:8">
      <c r="E109" s="104" t="s">
        <v>668</v>
      </c>
      <c r="F109" s="99">
        <v>0.2</v>
      </c>
    </row>
    <row r="110" spans="1:8">
      <c r="E110" s="98" t="s">
        <v>669</v>
      </c>
      <c r="F110" s="99">
        <v>0.15</v>
      </c>
    </row>
    <row r="111" spans="1:8" ht="7.95" customHeight="1"/>
    <row r="112" spans="1:8">
      <c r="A112" s="57" t="s">
        <v>561</v>
      </c>
      <c r="B112" s="57" t="s">
        <v>678</v>
      </c>
    </row>
    <row r="113" spans="1:2">
      <c r="A113" s="98" t="s">
        <v>679</v>
      </c>
      <c r="B113" s="99">
        <v>1.5</v>
      </c>
    </row>
    <row r="114" spans="1:2">
      <c r="A114" s="98" t="s">
        <v>680</v>
      </c>
      <c r="B114" s="99">
        <v>1.3</v>
      </c>
    </row>
    <row r="115" spans="1:2">
      <c r="A115" s="98" t="s">
        <v>681</v>
      </c>
      <c r="B115" s="99">
        <v>1.1499999999999999</v>
      </c>
    </row>
    <row r="116" spans="1:2">
      <c r="A116" s="98" t="s">
        <v>682</v>
      </c>
      <c r="B116" s="99">
        <v>1.05</v>
      </c>
    </row>
    <row r="117" spans="1:2">
      <c r="A117" s="98" t="s">
        <v>683</v>
      </c>
      <c r="B117" s="99">
        <v>1</v>
      </c>
    </row>
    <row r="118" spans="1:2">
      <c r="A118" s="101" t="s">
        <v>684</v>
      </c>
      <c r="B118" s="102">
        <v>0.9</v>
      </c>
    </row>
  </sheetData>
  <mergeCells count="2">
    <mergeCell ref="A1:H1"/>
    <mergeCell ref="A2:H2"/>
  </mergeCells>
  <dataValidations count="1">
    <dataValidation type="list" allowBlank="1" showInputMessage="1" showErrorMessage="1" sqref="B28" xr:uid="{6126A2E5-1381-416F-8355-33E1DB2430F4}">
      <formula1>"universal,domain_specific,local,conditional"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66919801-D407-41B2-BE5C-E31A81443E93}">
          <x14:formula1>
            <xm:f>DROPDOWNS!$U$2:$U$10</xm:f>
          </x14:formula1>
          <xm:sqref>B70</xm:sqref>
        </x14:dataValidation>
        <x14:dataValidation type="list" allowBlank="1" showInputMessage="1" showErrorMessage="1" xr:uid="{DFB96894-4F5D-4085-8EAC-B66832ABEDDF}">
          <x14:formula1>
            <xm:f>DROPDOWNS!$V$2:$V$6</xm:f>
          </x14:formula1>
          <xm:sqref>B71</xm:sqref>
        </x14:dataValidation>
        <x14:dataValidation type="list" allowBlank="1" showInputMessage="1" showErrorMessage="1" xr:uid="{1E8794F9-7B05-4658-B45C-F2764DEF34CE}">
          <x14:formula1>
            <xm:f>DROPDOWNS!$W$2:$W$14</xm:f>
          </x14:formula1>
          <xm:sqref>B72</xm:sqref>
        </x14:dataValidation>
        <x14:dataValidation type="list" allowBlank="1" showInputMessage="1" showErrorMessage="1" xr:uid="{6A3861B5-58EF-48CD-B177-88452F5710B4}">
          <x14:formula1>
            <xm:f>DROPDOWNS!$X$2:$X$9</xm:f>
          </x14:formula1>
          <xm:sqref>B73</xm:sqref>
        </x14:dataValidation>
        <x14:dataValidation type="list" allowBlank="1" showInputMessage="1" showErrorMessage="1" xr:uid="{65879FC0-56DF-4ECB-A88C-F0203BBC4EF4}">
          <x14:formula1>
            <xm:f>DROPDOWNS!$Y$2:$Y$7</xm:f>
          </x14:formula1>
          <xm:sqref>B74 B16</xm:sqref>
        </x14:dataValidation>
        <x14:dataValidation type="list" allowBlank="1" showInputMessage="1" showErrorMessage="1" xr:uid="{C5640A9E-A7A2-4994-A466-913694A06D4D}">
          <x14:formula1>
            <xm:f>DROPDOWNS!$Z$2:$Z$6</xm:f>
          </x14:formula1>
          <xm:sqref>B20</xm:sqref>
        </x14:dataValidation>
        <x14:dataValidation type="list" allowBlank="1" showInputMessage="1" showErrorMessage="1" xr:uid="{8F20A1E6-906D-43D5-95BC-37780390DA8C}">
          <x14:formula1>
            <xm:f>DROPDOWNS!$AA$2:$AA$7</xm:f>
          </x14:formula1>
          <xm:sqref>B25</xm:sqref>
        </x14:dataValidation>
        <x14:dataValidation type="list" allowBlank="1" showInputMessage="1" showErrorMessage="1" xr:uid="{2D0198D9-D4C0-4FEF-9D8D-D0DF8E281E1E}">
          <x14:formula1>
            <xm:f>DROPDOWNS!$AB$2:$AB$10</xm:f>
          </x14:formula1>
          <xm:sqref>B26</xm:sqref>
        </x14:dataValidation>
        <x14:dataValidation type="list" allowBlank="1" showInputMessage="1" showErrorMessage="1" xr:uid="{40622B59-D039-4113-941D-4301A7E8DA92}">
          <x14:formula1>
            <xm:f>DROPDOWNS!$AC$2:$AC$9</xm:f>
          </x14:formula1>
          <xm:sqref>B27</xm:sqref>
        </x14:dataValidation>
        <x14:dataValidation type="list" allowBlank="1" showInputMessage="1" showErrorMessage="1" xr:uid="{287C5403-4AEB-482E-B6DA-1734EDA084C4}">
          <x14:formula1>
            <xm:f>DROPDOWNS!$AD$2:$AD$6</xm:f>
          </x14:formula1>
          <xm:sqref>B29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A2BD8-B04C-412C-9080-44091FA784FA}">
  <dimension ref="A1:E95"/>
  <sheetViews>
    <sheetView topLeftCell="A51" workbookViewId="0">
      <selection activeCell="H53" sqref="H53"/>
    </sheetView>
  </sheetViews>
  <sheetFormatPr defaultRowHeight="14.4"/>
  <cols>
    <col min="1" max="1" width="33.33203125" customWidth="1"/>
    <col min="2" max="2" width="37" customWidth="1"/>
    <col min="3" max="4" width="29.6640625" customWidth="1"/>
    <col min="5" max="5" width="22.21875" customWidth="1"/>
  </cols>
  <sheetData>
    <row r="1" spans="1:5" ht="30" customHeight="1">
      <c r="A1" s="720" t="s">
        <v>792</v>
      </c>
      <c r="B1" s="720"/>
      <c r="C1" s="720"/>
      <c r="D1" s="720"/>
      <c r="E1" s="720"/>
    </row>
    <row r="2" spans="1:5">
      <c r="A2" s="721" t="s">
        <v>793</v>
      </c>
      <c r="B2" s="721"/>
      <c r="C2" s="721"/>
      <c r="D2" s="721"/>
      <c r="E2" s="721"/>
    </row>
    <row r="3" spans="1:5" ht="7.95" customHeight="1"/>
    <row r="4" spans="1:5">
      <c r="A4" s="16" t="s">
        <v>794</v>
      </c>
      <c r="B4" s="17" t="s">
        <v>795</v>
      </c>
      <c r="C4" s="16" t="s">
        <v>796</v>
      </c>
      <c r="D4" s="17" t="s">
        <v>797</v>
      </c>
    </row>
    <row r="5" spans="1:5">
      <c r="A5" s="16" t="s">
        <v>798</v>
      </c>
      <c r="B5" s="728" t="s">
        <v>799</v>
      </c>
      <c r="C5" s="728"/>
      <c r="D5" s="728"/>
    </row>
    <row r="6" spans="1:5" ht="7.95" customHeight="1"/>
    <row r="7" spans="1:5" ht="15.6">
      <c r="A7" s="724" t="s">
        <v>800</v>
      </c>
      <c r="B7" s="724"/>
      <c r="C7" s="724"/>
      <c r="D7" s="724"/>
    </row>
    <row r="8" spans="1:5">
      <c r="A8" s="57" t="s">
        <v>771</v>
      </c>
      <c r="B8" s="57" t="s">
        <v>617</v>
      </c>
      <c r="C8" s="57" t="s">
        <v>772</v>
      </c>
    </row>
    <row r="9" spans="1:5">
      <c r="A9" s="68" t="s">
        <v>692</v>
      </c>
      <c r="B9" s="60"/>
      <c r="C9" s="146" t="s">
        <v>801</v>
      </c>
    </row>
    <row r="10" spans="1:5">
      <c r="A10" s="68" t="s">
        <v>698</v>
      </c>
      <c r="B10" s="60"/>
      <c r="C10" s="146" t="s">
        <v>802</v>
      </c>
    </row>
    <row r="11" spans="1:5">
      <c r="A11" s="68" t="s">
        <v>704</v>
      </c>
      <c r="B11" s="60"/>
      <c r="C11" s="146" t="s">
        <v>775</v>
      </c>
    </row>
    <row r="12" spans="1:5">
      <c r="A12" s="68" t="s">
        <v>607</v>
      </c>
      <c r="B12" s="60"/>
      <c r="C12" s="146" t="s">
        <v>803</v>
      </c>
    </row>
    <row r="13" spans="1:5">
      <c r="A13" s="68" t="s">
        <v>713</v>
      </c>
      <c r="B13" s="60"/>
      <c r="C13" s="146" t="s">
        <v>804</v>
      </c>
    </row>
    <row r="14" spans="1:5" ht="7.95" customHeight="1"/>
    <row r="15" spans="1:5" ht="15.6">
      <c r="A15" s="724" t="s">
        <v>805</v>
      </c>
      <c r="B15" s="724"/>
      <c r="C15" s="724"/>
      <c r="D15" s="724"/>
    </row>
    <row r="16" spans="1:5">
      <c r="A16" s="725" t="s">
        <v>806</v>
      </c>
      <c r="B16" s="725"/>
    </row>
    <row r="17" spans="1:5">
      <c r="A17" s="57" t="s">
        <v>596</v>
      </c>
      <c r="B17" s="57" t="s">
        <v>575</v>
      </c>
      <c r="C17" s="57" t="s">
        <v>598</v>
      </c>
      <c r="D17" s="57" t="s">
        <v>807</v>
      </c>
      <c r="E17" s="57" t="s">
        <v>18</v>
      </c>
    </row>
    <row r="18" spans="1:5">
      <c r="A18" s="68" t="s">
        <v>600</v>
      </c>
      <c r="B18" s="80"/>
      <c r="C18" s="81">
        <v>0.4</v>
      </c>
      <c r="D18" s="147" t="s">
        <v>808</v>
      </c>
      <c r="E18" s="60"/>
    </row>
    <row r="19" spans="1:5">
      <c r="A19" s="68" t="s">
        <v>601</v>
      </c>
      <c r="B19" s="80"/>
      <c r="C19" s="81">
        <v>0.3</v>
      </c>
      <c r="D19" s="147" t="s">
        <v>809</v>
      </c>
      <c r="E19" s="60"/>
    </row>
    <row r="20" spans="1:5">
      <c r="A20" s="68" t="s">
        <v>602</v>
      </c>
      <c r="B20" s="80"/>
      <c r="C20" s="81">
        <v>0.3</v>
      </c>
      <c r="D20" s="147" t="s">
        <v>810</v>
      </c>
      <c r="E20" s="60"/>
    </row>
    <row r="21" spans="1:5" ht="22.05" customHeight="1">
      <c r="A21" s="72" t="s">
        <v>603</v>
      </c>
      <c r="B21" s="74" t="str">
        <f>IFERROR(IF(COUNTA(B18:B20)=3,B18*C18+B19*C19+B20*C20,""),"")</f>
        <v/>
      </c>
    </row>
    <row r="22" spans="1:5" ht="7.95" customHeight="1"/>
    <row r="23" spans="1:5">
      <c r="A23" s="725" t="s">
        <v>811</v>
      </c>
      <c r="B23" s="725"/>
    </row>
    <row r="24" spans="1:5">
      <c r="A24" s="57" t="s">
        <v>596</v>
      </c>
      <c r="B24" s="57" t="s">
        <v>575</v>
      </c>
      <c r="C24" s="57" t="s">
        <v>598</v>
      </c>
      <c r="D24" s="57" t="s">
        <v>807</v>
      </c>
    </row>
    <row r="25" spans="1:5">
      <c r="A25" s="68" t="s">
        <v>605</v>
      </c>
      <c r="B25" s="80"/>
      <c r="C25" s="81">
        <v>0.4</v>
      </c>
      <c r="D25" s="147" t="s">
        <v>812</v>
      </c>
    </row>
    <row r="26" spans="1:5">
      <c r="A26" s="68" t="s">
        <v>606</v>
      </c>
      <c r="B26" s="80"/>
      <c r="C26" s="81">
        <v>0.3</v>
      </c>
      <c r="D26" s="147" t="s">
        <v>813</v>
      </c>
    </row>
    <row r="27" spans="1:5">
      <c r="A27" s="68" t="s">
        <v>607</v>
      </c>
      <c r="B27" s="80"/>
      <c r="C27" s="81">
        <v>0.3</v>
      </c>
      <c r="D27" s="147" t="s">
        <v>814</v>
      </c>
    </row>
    <row r="28" spans="1:5" ht="22.05" customHeight="1">
      <c r="A28" s="72" t="s">
        <v>608</v>
      </c>
      <c r="B28" s="74" t="str">
        <f>IFERROR(IF(COUNTA(B25:B27)=3,B25*C25+B26*C26+B27*C27,""),"")</f>
        <v/>
      </c>
    </row>
    <row r="29" spans="1:5" ht="7.95" customHeight="1"/>
    <row r="30" spans="1:5">
      <c r="A30" s="725" t="s">
        <v>815</v>
      </c>
      <c r="B30" s="725"/>
    </row>
    <row r="31" spans="1:5">
      <c r="A31" s="57" t="s">
        <v>596</v>
      </c>
      <c r="B31" s="57" t="s">
        <v>575</v>
      </c>
      <c r="C31" s="57" t="s">
        <v>598</v>
      </c>
      <c r="D31" s="57" t="s">
        <v>807</v>
      </c>
    </row>
    <row r="32" spans="1:5">
      <c r="A32" s="68" t="s">
        <v>610</v>
      </c>
      <c r="B32" s="80"/>
      <c r="C32" s="81">
        <v>0.25</v>
      </c>
      <c r="D32" s="147" t="s">
        <v>816</v>
      </c>
    </row>
    <row r="33" spans="1:4">
      <c r="A33" s="68" t="s">
        <v>611</v>
      </c>
      <c r="B33" s="80"/>
      <c r="C33" s="81">
        <v>0.25</v>
      </c>
      <c r="D33" s="147" t="s">
        <v>817</v>
      </c>
    </row>
    <row r="34" spans="1:4">
      <c r="A34" s="68" t="s">
        <v>612</v>
      </c>
      <c r="B34" s="80"/>
      <c r="C34" s="81">
        <v>0.25</v>
      </c>
      <c r="D34" s="147" t="s">
        <v>818</v>
      </c>
    </row>
    <row r="35" spans="1:4">
      <c r="A35" s="68" t="s">
        <v>613</v>
      </c>
      <c r="B35" s="80"/>
      <c r="C35" s="81">
        <v>0.25</v>
      </c>
      <c r="D35" s="147" t="s">
        <v>819</v>
      </c>
    </row>
    <row r="36" spans="1:4" ht="22.05" customHeight="1">
      <c r="A36" s="72" t="s">
        <v>614</v>
      </c>
      <c r="B36" s="74" t="str">
        <f>IFERROR(IF(COUNTA(B32:B35)=4,B32*C32+B33*C33+B34*C34+B35*C35,""),"")</f>
        <v/>
      </c>
    </row>
    <row r="37" spans="1:4" ht="7.95" customHeight="1"/>
    <row r="38" spans="1:4" ht="15.6">
      <c r="A38" s="724" t="s">
        <v>820</v>
      </c>
      <c r="B38" s="724"/>
      <c r="C38" s="724"/>
    </row>
    <row r="39" spans="1:4">
      <c r="A39" s="65" t="s">
        <v>821</v>
      </c>
      <c r="B39" s="74" t="str">
        <f>IFERROR(IF(OR(B28="",B36=""),"",(0.5+0.5*B28)*(0.5+0.5*B36)),"")</f>
        <v/>
      </c>
      <c r="C39" s="21" t="s">
        <v>894</v>
      </c>
    </row>
    <row r="40" spans="1:4" ht="25.95" customHeight="1">
      <c r="A40" s="65" t="s">
        <v>822</v>
      </c>
      <c r="B40" s="144" t="str">
        <f>IFERROR(IF(OR(B21="",B39=""),"",_xlfn.LET(_xlpm.raw,B21*B39,_xlpm.capped,IF(AND(B28&lt;&gt;"",B28&lt;0.3),MIN(_xlpm.raw,0.5),_xlpm.raw),_xlpm.capped)),"")</f>
        <v/>
      </c>
      <c r="C40" s="145" t="s">
        <v>898</v>
      </c>
    </row>
    <row r="41" spans="1:4">
      <c r="A41" s="136" t="s">
        <v>823</v>
      </c>
      <c r="B41" s="70" t="s">
        <v>824</v>
      </c>
      <c r="C41" s="136" t="str">
        <f>IF(AND(B28&lt;&gt;"",B28&lt;0.3),"⚠️ WHY-PENALTY ACTIVE","")</f>
        <v/>
      </c>
    </row>
    <row r="42" spans="1:4">
      <c r="A42" s="136" t="s">
        <v>825</v>
      </c>
      <c r="B42" s="70" t="s">
        <v>826</v>
      </c>
      <c r="C42" s="136" t="str">
        <f>IF(AND(B36&lt;&gt;"",B36&lt;0.1),"⚠️ NO LIVED VALIDITY","")</f>
        <v/>
      </c>
    </row>
    <row r="43" spans="1:4" ht="7.95" customHeight="1"/>
    <row r="44" spans="1:4" ht="15.6">
      <c r="A44" s="726" t="s">
        <v>827</v>
      </c>
      <c r="B44" s="726"/>
      <c r="C44" s="726"/>
      <c r="D44" s="726"/>
    </row>
    <row r="45" spans="1:4">
      <c r="A45" s="57" t="s">
        <v>828</v>
      </c>
      <c r="B45" s="57" t="s">
        <v>574</v>
      </c>
      <c r="C45" s="57" t="s">
        <v>829</v>
      </c>
      <c r="D45" s="57" t="s">
        <v>830</v>
      </c>
    </row>
    <row r="46" spans="1:4">
      <c r="A46" s="68" t="s">
        <v>831</v>
      </c>
      <c r="B46" s="87" t="s">
        <v>832</v>
      </c>
      <c r="C46" s="78" t="s">
        <v>833</v>
      </c>
      <c r="D46" s="147" t="s">
        <v>834</v>
      </c>
    </row>
    <row r="47" spans="1:4">
      <c r="A47" s="68" t="s">
        <v>835</v>
      </c>
      <c r="B47" s="87" t="s">
        <v>836</v>
      </c>
      <c r="C47" s="60"/>
      <c r="D47" s="147" t="s">
        <v>837</v>
      </c>
    </row>
    <row r="48" spans="1:4">
      <c r="A48" s="68" t="s">
        <v>838</v>
      </c>
      <c r="B48" s="87" t="s">
        <v>839</v>
      </c>
      <c r="C48" s="60"/>
      <c r="D48" s="147" t="s">
        <v>840</v>
      </c>
    </row>
    <row r="49" spans="1:4">
      <c r="A49" s="68" t="s">
        <v>841</v>
      </c>
      <c r="B49" s="87" t="s">
        <v>842</v>
      </c>
      <c r="C49" s="60"/>
      <c r="D49" s="147" t="s">
        <v>843</v>
      </c>
    </row>
    <row r="50" spans="1:4">
      <c r="A50" s="131" t="s">
        <v>844</v>
      </c>
      <c r="B50" s="101" t="s">
        <v>845</v>
      </c>
      <c r="C50" s="148" t="s">
        <v>846</v>
      </c>
      <c r="D50" s="149" t="s">
        <v>847</v>
      </c>
    </row>
    <row r="51" spans="1:4" ht="7.95" customHeight="1"/>
    <row r="52" spans="1:4" ht="15.6">
      <c r="A52" s="724" t="s">
        <v>848</v>
      </c>
      <c r="B52" s="724"/>
      <c r="C52" s="724"/>
      <c r="D52" s="724"/>
    </row>
    <row r="53" spans="1:4">
      <c r="A53" s="65" t="s">
        <v>849</v>
      </c>
      <c r="B53" s="17" t="s">
        <v>850</v>
      </c>
      <c r="C53" s="65" t="s">
        <v>731</v>
      </c>
      <c r="D53" s="55"/>
    </row>
    <row r="54" spans="1:4">
      <c r="A54" s="57" t="s">
        <v>851</v>
      </c>
      <c r="B54" s="57" t="s">
        <v>852</v>
      </c>
      <c r="C54" s="57" t="s">
        <v>853</v>
      </c>
      <c r="D54" s="57" t="s">
        <v>568</v>
      </c>
    </row>
    <row r="55" spans="1:4">
      <c r="A55" s="78" t="s">
        <v>854</v>
      </c>
      <c r="B55" s="60"/>
      <c r="C55" s="60"/>
      <c r="D55" s="60"/>
    </row>
    <row r="56" spans="1:4">
      <c r="A56" s="78" t="s">
        <v>855</v>
      </c>
      <c r="B56" s="60"/>
      <c r="C56" s="60"/>
      <c r="D56" s="60"/>
    </row>
    <row r="57" spans="1:4">
      <c r="A57" s="78" t="s">
        <v>856</v>
      </c>
      <c r="B57" s="60"/>
      <c r="C57" s="60"/>
      <c r="D57" s="60"/>
    </row>
    <row r="58" spans="1:4" ht="7.95" customHeight="1"/>
    <row r="59" spans="1:4" ht="15.6">
      <c r="A59" s="729" t="s">
        <v>857</v>
      </c>
      <c r="B59" s="729"/>
      <c r="C59" s="729"/>
      <c r="D59" s="729"/>
    </row>
    <row r="60" spans="1:4">
      <c r="A60" s="86" t="s">
        <v>858</v>
      </c>
      <c r="B60" s="57" t="s">
        <v>859</v>
      </c>
    </row>
    <row r="61" spans="1:4">
      <c r="A61" s="150" t="s">
        <v>860</v>
      </c>
      <c r="B61" s="78" t="s">
        <v>861</v>
      </c>
    </row>
    <row r="62" spans="1:4">
      <c r="A62" s="150" t="s">
        <v>862</v>
      </c>
      <c r="B62" s="78" t="s">
        <v>863</v>
      </c>
    </row>
    <row r="63" spans="1:4">
      <c r="A63" s="150" t="s">
        <v>864</v>
      </c>
      <c r="B63" s="78" t="s">
        <v>865</v>
      </c>
    </row>
    <row r="64" spans="1:4" ht="7.95" customHeight="1"/>
    <row r="65" spans="1:4">
      <c r="A65" s="730" t="s">
        <v>866</v>
      </c>
      <c r="B65" s="730"/>
    </row>
    <row r="66" spans="1:4">
      <c r="A66" s="150" t="s">
        <v>867</v>
      </c>
      <c r="B66" s="78" t="s">
        <v>850</v>
      </c>
      <c r="C66" s="68" t="s">
        <v>868</v>
      </c>
      <c r="D66" s="80"/>
    </row>
    <row r="67" spans="1:4">
      <c r="A67" s="150" t="s">
        <v>869</v>
      </c>
      <c r="B67" s="78" t="s">
        <v>870</v>
      </c>
      <c r="C67" s="84"/>
      <c r="D67" s="84"/>
    </row>
    <row r="68" spans="1:4">
      <c r="A68" s="150" t="s">
        <v>871</v>
      </c>
      <c r="B68" s="78" t="s">
        <v>872</v>
      </c>
      <c r="C68" s="84"/>
      <c r="D68" s="84"/>
    </row>
    <row r="69" spans="1:4">
      <c r="A69" s="150" t="s">
        <v>873</v>
      </c>
      <c r="B69" s="78" t="s">
        <v>850</v>
      </c>
      <c r="C69" s="84"/>
      <c r="D69" s="84"/>
    </row>
    <row r="70" spans="1:4" ht="7.95" customHeight="1"/>
    <row r="71" spans="1:4" ht="15.6">
      <c r="A71" s="726" t="s">
        <v>874</v>
      </c>
      <c r="B71" s="726"/>
      <c r="C71" s="726"/>
    </row>
    <row r="72" spans="1:4">
      <c r="A72" s="57" t="s">
        <v>596</v>
      </c>
      <c r="B72" s="86" t="s">
        <v>88</v>
      </c>
      <c r="C72" s="57" t="s">
        <v>623</v>
      </c>
    </row>
    <row r="73" spans="1:4">
      <c r="A73" s="68" t="s">
        <v>624</v>
      </c>
      <c r="B73" s="87" t="s">
        <v>875</v>
      </c>
      <c r="C73" s="80"/>
    </row>
    <row r="74" spans="1:4">
      <c r="A74" s="68" t="s">
        <v>626</v>
      </c>
      <c r="B74" s="87" t="s">
        <v>876</v>
      </c>
      <c r="C74" s="80"/>
    </row>
    <row r="75" spans="1:4">
      <c r="A75" s="68" t="s">
        <v>628</v>
      </c>
      <c r="B75" s="87" t="s">
        <v>877</v>
      </c>
      <c r="C75" s="80"/>
    </row>
    <row r="76" spans="1:4">
      <c r="A76" s="68" t="s">
        <v>630</v>
      </c>
      <c r="B76" s="87" t="s">
        <v>878</v>
      </c>
      <c r="C76" s="80"/>
    </row>
    <row r="77" spans="1:4">
      <c r="A77" s="68" t="s">
        <v>632</v>
      </c>
      <c r="B77" s="87" t="s">
        <v>879</v>
      </c>
      <c r="C77" s="80"/>
    </row>
    <row r="78" spans="1:4">
      <c r="A78" s="68" t="s">
        <v>634</v>
      </c>
      <c r="B78" s="87" t="s">
        <v>880</v>
      </c>
      <c r="C78" s="80"/>
    </row>
    <row r="79" spans="1:4" ht="7.95" customHeight="1"/>
    <row r="80" spans="1:4">
      <c r="A80" s="731" t="s">
        <v>881</v>
      </c>
      <c r="B80" s="731"/>
      <c r="C80" s="731"/>
      <c r="D80" s="731"/>
    </row>
    <row r="81" spans="1:4">
      <c r="A81" s="723" t="s">
        <v>882</v>
      </c>
      <c r="B81" s="723"/>
      <c r="C81" s="723"/>
      <c r="D81" s="723"/>
    </row>
    <row r="82" spans="1:4" ht="7.95" customHeight="1"/>
    <row r="83" spans="1:4" ht="15.6">
      <c r="A83" s="726" t="s">
        <v>883</v>
      </c>
      <c r="B83" s="726"/>
      <c r="C83" s="726"/>
      <c r="D83" s="726"/>
    </row>
    <row r="84" spans="1:4">
      <c r="A84" s="57" t="s">
        <v>771</v>
      </c>
      <c r="B84" s="57" t="s">
        <v>884</v>
      </c>
      <c r="C84" s="57" t="s">
        <v>885</v>
      </c>
      <c r="D84" s="57" t="s">
        <v>886</v>
      </c>
    </row>
    <row r="85" spans="1:4">
      <c r="A85" s="151" t="s">
        <v>860</v>
      </c>
      <c r="B85" s="152" t="s">
        <v>887</v>
      </c>
      <c r="C85" s="153" t="s">
        <v>888</v>
      </c>
      <c r="D85" s="152" t="s">
        <v>889</v>
      </c>
    </row>
    <row r="86" spans="1:4">
      <c r="A86" s="151" t="s">
        <v>862</v>
      </c>
      <c r="B86" s="152" t="s">
        <v>890</v>
      </c>
      <c r="C86" s="153" t="s">
        <v>888</v>
      </c>
      <c r="D86" s="152" t="s">
        <v>891</v>
      </c>
    </row>
    <row r="87" spans="1:4">
      <c r="A87" s="151" t="s">
        <v>864</v>
      </c>
      <c r="B87" s="152" t="s">
        <v>892</v>
      </c>
      <c r="C87" s="153" t="s">
        <v>888</v>
      </c>
      <c r="D87" s="152" t="s">
        <v>893</v>
      </c>
    </row>
    <row r="88" spans="1:4">
      <c r="A88" s="151" t="s">
        <v>894</v>
      </c>
      <c r="B88" s="152" t="s">
        <v>895</v>
      </c>
      <c r="C88" s="153" t="s">
        <v>896</v>
      </c>
      <c r="D88" s="152" t="s">
        <v>897</v>
      </c>
    </row>
    <row r="89" spans="1:4">
      <c r="A89" s="151" t="s">
        <v>898</v>
      </c>
      <c r="B89" s="152" t="s">
        <v>899</v>
      </c>
      <c r="C89" s="153" t="s">
        <v>888</v>
      </c>
      <c r="D89" s="152" t="s">
        <v>900</v>
      </c>
    </row>
    <row r="90" spans="1:4" ht="7.95" customHeight="1"/>
    <row r="91" spans="1:4">
      <c r="A91" s="727" t="s">
        <v>114</v>
      </c>
      <c r="B91" s="727"/>
      <c r="C91" s="727"/>
    </row>
    <row r="92" spans="1:4">
      <c r="A92" s="154" t="s">
        <v>901</v>
      </c>
      <c r="B92" s="155" t="s">
        <v>902</v>
      </c>
    </row>
    <row r="93" spans="1:4">
      <c r="A93" s="155" t="s">
        <v>10</v>
      </c>
      <c r="B93" s="155" t="s">
        <v>903</v>
      </c>
    </row>
    <row r="94" spans="1:4">
      <c r="A94" s="155" t="s">
        <v>14</v>
      </c>
      <c r="B94" s="156">
        <v>46102</v>
      </c>
    </row>
    <row r="95" spans="1:4">
      <c r="A95" s="157" t="s">
        <v>904</v>
      </c>
      <c r="B95" s="158" t="s">
        <v>905</v>
      </c>
    </row>
  </sheetData>
  <mergeCells count="18">
    <mergeCell ref="A91:C91"/>
    <mergeCell ref="B5:D5"/>
    <mergeCell ref="A52:D52"/>
    <mergeCell ref="A59:D59"/>
    <mergeCell ref="A65:B65"/>
    <mergeCell ref="A71:C71"/>
    <mergeCell ref="A80:D80"/>
    <mergeCell ref="A83:D83"/>
    <mergeCell ref="A1:E1"/>
    <mergeCell ref="A2:E2"/>
    <mergeCell ref="A81:D81"/>
    <mergeCell ref="A7:D7"/>
    <mergeCell ref="A15:D15"/>
    <mergeCell ref="A16:B16"/>
    <mergeCell ref="A23:B23"/>
    <mergeCell ref="A30:B30"/>
    <mergeCell ref="A38:C38"/>
    <mergeCell ref="A44:D44"/>
  </mergeCells>
  <dataValidations count="1">
    <dataValidation type="list" allowBlank="1" showInputMessage="1" showErrorMessage="1" sqref="B12" xr:uid="{8A1A428E-5002-4FBD-AE7A-FC971E0A11D9}">
      <formula1>"universal,domain_specific,local,conditional"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3F517CD4-F74E-49D4-BEF1-0F43EFAF5FCD}">
          <x14:formula1>
            <xm:f>DROPDOWNS!$AA$2:$AA$7</xm:f>
          </x14:formula1>
          <xm:sqref>B9</xm:sqref>
        </x14:dataValidation>
        <x14:dataValidation type="list" allowBlank="1" showInputMessage="1" showErrorMessage="1" xr:uid="{1BFB37E9-2CB5-4746-8AFA-C86AE82D9FB5}">
          <x14:formula1>
            <xm:f>DROPDOWNS!$AB$2:$AB$10</xm:f>
          </x14:formula1>
          <xm:sqref>B10</xm:sqref>
        </x14:dataValidation>
        <x14:dataValidation type="list" allowBlank="1" showInputMessage="1" showErrorMessage="1" xr:uid="{D1ACB02D-22D8-4745-9BF3-C17B20F58DCE}">
          <x14:formula1>
            <xm:f>DROPDOWNS!$AC$2:$AC$9</xm:f>
          </x14:formula1>
          <xm:sqref>B11</xm:sqref>
        </x14:dataValidation>
        <x14:dataValidation type="list" allowBlank="1" showInputMessage="1" showErrorMessage="1" xr:uid="{5E48D9FE-C75B-4CDB-B649-95982FEB0330}">
          <x14:formula1>
            <xm:f>DROPDOWNS!$AD$2:$AD$6</xm:f>
          </x14:formula1>
          <xm:sqref>B13</xm:sqref>
        </x14:dataValidation>
        <x14:dataValidation type="list" allowBlank="1" showInputMessage="1" showErrorMessage="1" xr:uid="{0FB1A95E-0237-4209-85BC-B156D0E80BB3}">
          <x14:formula1>
            <xm:f>DROPDOWNS!$AI$2:$AI$6</xm:f>
          </x14:formula1>
          <xm:sqref>E18</xm:sqref>
        </x14:dataValidation>
        <x14:dataValidation type="list" allowBlank="1" showInputMessage="1" showErrorMessage="1" xr:uid="{46F8E915-DFB7-49F1-B8EC-1793B1075B94}">
          <x14:formula1>
            <xm:f>DROPDOWNS!$AJ$2:$AJ$6</xm:f>
          </x14:formula1>
          <xm:sqref>E19</xm:sqref>
        </x14:dataValidation>
        <x14:dataValidation type="list" allowBlank="1" showInputMessage="1" showErrorMessage="1" xr:uid="{6A6BC745-C4C8-4D80-ADDA-883C41D9907B}">
          <x14:formula1>
            <xm:f>DROPDOWNS!$W$2:$W$14</xm:f>
          </x14:formula1>
          <xm:sqref>C47</xm:sqref>
        </x14:dataValidation>
        <x14:dataValidation type="list" allowBlank="1" showInputMessage="1" showErrorMessage="1" xr:uid="{87A11F47-EB54-468F-8991-B01C7D7F4F2C}">
          <x14:formula1>
            <xm:f>DROPDOWNS!$AE$2:$AE$7</xm:f>
          </x14:formula1>
          <xm:sqref>C48</xm:sqref>
        </x14:dataValidation>
        <x14:dataValidation type="list" allowBlank="1" showInputMessage="1" showErrorMessage="1" xr:uid="{9E9B6414-DAF9-4CDF-A80A-2524F3B740F8}">
          <x14:formula1>
            <xm:f>DROPDOWNS!$AF$2:$AF$7</xm:f>
          </x14:formula1>
          <xm:sqref>C49</xm:sqref>
        </x14:dataValidation>
        <x14:dataValidation type="list" allowBlank="1" showInputMessage="1" showErrorMessage="1" xr:uid="{68DDEF72-F61C-4FD1-B331-B075A00DA0DF}">
          <x14:formula1>
            <xm:f>DROPDOWNS!$AG$2:$AG$5</xm:f>
          </x14:formula1>
          <xm:sqref>D53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EDEC7-60C3-4C0A-8AFD-E6CC277827FE}">
  <dimension ref="A1:E248"/>
  <sheetViews>
    <sheetView workbookViewId="0">
      <pane ySplit="2" topLeftCell="A3" activePane="bottomLeft" state="frozen"/>
      <selection pane="bottomLeft"/>
    </sheetView>
  </sheetViews>
  <sheetFormatPr defaultRowHeight="14.4"/>
  <cols>
    <col min="1" max="1" width="37" customWidth="1"/>
    <col min="2" max="2" width="40.77734375" customWidth="1"/>
    <col min="3" max="3" width="37" customWidth="1"/>
    <col min="4" max="4" width="29.6640625" customWidth="1"/>
    <col min="5" max="5" width="22.21875" customWidth="1"/>
  </cols>
  <sheetData>
    <row r="1" spans="1:4" ht="24" customHeight="1">
      <c r="A1" s="10" t="s">
        <v>1042</v>
      </c>
      <c r="B1" s="11"/>
      <c r="C1" s="11"/>
      <c r="D1" s="11"/>
    </row>
    <row r="2" spans="1:4">
      <c r="A2" s="12" t="s">
        <v>1043</v>
      </c>
      <c r="B2" s="11"/>
      <c r="C2" s="11"/>
      <c r="D2" s="11"/>
    </row>
    <row r="3" spans="1:4" ht="18" customHeight="1"/>
    <row r="4" spans="1:4" ht="24" customHeight="1">
      <c r="A4" s="13" t="s">
        <v>1044</v>
      </c>
      <c r="B4" s="15"/>
      <c r="C4" s="15"/>
      <c r="D4" s="15"/>
    </row>
    <row r="5" spans="1:4" ht="18" customHeight="1">
      <c r="A5" s="18" t="s">
        <v>1045</v>
      </c>
      <c r="B5" s="20"/>
    </row>
    <row r="6" spans="1:4" ht="18" customHeight="1">
      <c r="A6" s="159" t="s">
        <v>1046</v>
      </c>
      <c r="B6" s="17" t="s">
        <v>1047</v>
      </c>
      <c r="C6" s="160" t="s">
        <v>1048</v>
      </c>
    </row>
    <row r="7" spans="1:4" ht="18" customHeight="1">
      <c r="A7" s="159" t="s">
        <v>5</v>
      </c>
      <c r="B7" s="55"/>
    </row>
    <row r="8" spans="1:4" ht="18" customHeight="1">
      <c r="A8" s="159" t="s">
        <v>859</v>
      </c>
      <c r="B8" s="17" t="s">
        <v>1049</v>
      </c>
      <c r="C8" s="135"/>
    </row>
    <row r="9" spans="1:4" ht="18" customHeight="1"/>
    <row r="10" spans="1:4" ht="18" customHeight="1">
      <c r="A10" s="18" t="s">
        <v>618</v>
      </c>
      <c r="B10" s="20"/>
    </row>
    <row r="11" spans="1:4" ht="18" customHeight="1">
      <c r="A11" s="159" t="s">
        <v>1050</v>
      </c>
      <c r="B11" s="55"/>
      <c r="C11" s="160" t="s">
        <v>1051</v>
      </c>
    </row>
    <row r="12" spans="1:4" ht="18" customHeight="1">
      <c r="A12" s="159" t="s">
        <v>1052</v>
      </c>
      <c r="B12" s="55"/>
      <c r="C12" s="160" t="s">
        <v>1053</v>
      </c>
    </row>
    <row r="13" spans="1:4" ht="18" customHeight="1">
      <c r="A13" s="159" t="s">
        <v>1054</v>
      </c>
      <c r="B13" s="55"/>
      <c r="C13" s="160" t="s">
        <v>1055</v>
      </c>
    </row>
    <row r="14" spans="1:4" ht="18" customHeight="1">
      <c r="A14" s="159" t="s">
        <v>1056</v>
      </c>
      <c r="B14" s="55"/>
    </row>
    <row r="15" spans="1:4" ht="18" customHeight="1"/>
    <row r="16" spans="1:4" ht="18" customHeight="1">
      <c r="A16" s="18" t="s">
        <v>1057</v>
      </c>
      <c r="B16" s="20"/>
    </row>
    <row r="17" spans="1:3" ht="18" customHeight="1">
      <c r="A17" s="159" t="s">
        <v>18</v>
      </c>
      <c r="B17" s="55"/>
      <c r="C17" s="160" t="s">
        <v>1058</v>
      </c>
    </row>
    <row r="18" spans="1:3" ht="18" customHeight="1">
      <c r="A18" s="159" t="s">
        <v>1059</v>
      </c>
      <c r="B18" s="161"/>
    </row>
    <row r="19" spans="1:3" ht="18" customHeight="1"/>
    <row r="20" spans="1:3" ht="18" customHeight="1">
      <c r="A20" s="18" t="s">
        <v>1060</v>
      </c>
      <c r="B20" s="20"/>
    </row>
    <row r="21" spans="1:3" ht="18" customHeight="1">
      <c r="A21" s="159" t="s">
        <v>10</v>
      </c>
      <c r="B21" s="55" t="s">
        <v>11</v>
      </c>
    </row>
    <row r="22" spans="1:3" ht="18" customHeight="1">
      <c r="A22" s="159" t="s">
        <v>1061</v>
      </c>
      <c r="B22" s="55" t="s">
        <v>1062</v>
      </c>
    </row>
    <row r="23" spans="1:3" ht="18" customHeight="1">
      <c r="A23" s="159" t="s">
        <v>922</v>
      </c>
      <c r="B23" s="55"/>
    </row>
    <row r="24" spans="1:3" ht="18" customHeight="1">
      <c r="A24" s="159" t="s">
        <v>1063</v>
      </c>
      <c r="B24" s="162"/>
      <c r="C24" s="160" t="s">
        <v>1064</v>
      </c>
    </row>
    <row r="25" spans="1:3" ht="18" customHeight="1"/>
    <row r="26" spans="1:3" ht="18" customHeight="1">
      <c r="A26" s="18" t="s">
        <v>1065</v>
      </c>
      <c r="B26" s="20"/>
    </row>
    <row r="27" spans="1:3" ht="18" customHeight="1">
      <c r="A27" s="159" t="s">
        <v>1066</v>
      </c>
      <c r="B27" s="55"/>
    </row>
    <row r="28" spans="1:3" ht="18" customHeight="1">
      <c r="A28" s="159" t="s">
        <v>1067</v>
      </c>
      <c r="B28" s="17" t="s">
        <v>1068</v>
      </c>
    </row>
    <row r="29" spans="1:3" ht="18" customHeight="1">
      <c r="A29" s="159" t="s">
        <v>1069</v>
      </c>
      <c r="B29" s="55"/>
    </row>
    <row r="30" spans="1:3" ht="18" customHeight="1">
      <c r="A30" s="159" t="s">
        <v>933</v>
      </c>
      <c r="B30" s="55"/>
    </row>
    <row r="31" spans="1:3" ht="18" customHeight="1"/>
    <row r="32" spans="1:3" ht="18" customHeight="1">
      <c r="A32" s="18" t="s">
        <v>1070</v>
      </c>
      <c r="B32" s="20"/>
    </row>
    <row r="33" spans="1:4" ht="18" customHeight="1">
      <c r="A33" s="159" t="s">
        <v>1071</v>
      </c>
      <c r="B33" s="17" t="s">
        <v>1072</v>
      </c>
    </row>
    <row r="34" spans="1:4" ht="18" customHeight="1">
      <c r="A34" s="159" t="s">
        <v>1073</v>
      </c>
      <c r="B34" s="162"/>
    </row>
    <row r="35" spans="1:4" ht="18" customHeight="1">
      <c r="A35" s="159" t="s">
        <v>1074</v>
      </c>
      <c r="B35" s="55"/>
    </row>
    <row r="36" spans="1:4" ht="18" customHeight="1"/>
    <row r="37" spans="1:4" ht="18" customHeight="1">
      <c r="A37" s="18" t="s">
        <v>1075</v>
      </c>
      <c r="B37" s="20"/>
    </row>
    <row r="38" spans="1:4" ht="18" customHeight="1">
      <c r="A38" s="159" t="s">
        <v>1076</v>
      </c>
      <c r="B38" s="71" t="b">
        <v>1</v>
      </c>
    </row>
    <row r="39" spans="1:4" ht="18" customHeight="1">
      <c r="A39" s="159" t="s">
        <v>1077</v>
      </c>
      <c r="B39" s="71" t="b">
        <v>0</v>
      </c>
    </row>
    <row r="40" spans="1:4" ht="18" customHeight="1">
      <c r="A40" s="159" t="s">
        <v>1078</v>
      </c>
      <c r="B40" s="71" t="b">
        <v>1</v>
      </c>
    </row>
    <row r="41" spans="1:4" ht="18" customHeight="1">
      <c r="A41" s="159" t="s">
        <v>1079</v>
      </c>
      <c r="B41" s="71" t="b">
        <v>1</v>
      </c>
    </row>
    <row r="42" spans="1:4" ht="18" customHeight="1"/>
    <row r="43" spans="1:4" ht="24" customHeight="1">
      <c r="A43" s="13" t="s">
        <v>1080</v>
      </c>
      <c r="B43" s="15"/>
      <c r="C43" s="15"/>
      <c r="D43" s="15"/>
    </row>
    <row r="44" spans="1:4" ht="18" customHeight="1">
      <c r="A44" s="18" t="s">
        <v>583</v>
      </c>
      <c r="B44" s="20"/>
    </row>
    <row r="45" spans="1:4" ht="18" customHeight="1">
      <c r="A45" s="159" t="s">
        <v>583</v>
      </c>
      <c r="B45" s="55"/>
    </row>
    <row r="46" spans="1:4" ht="18" customHeight="1">
      <c r="A46" s="159" t="s">
        <v>1081</v>
      </c>
      <c r="B46" s="17" t="s">
        <v>1082</v>
      </c>
    </row>
    <row r="47" spans="1:4" ht="18" customHeight="1">
      <c r="A47" s="159" t="s">
        <v>944</v>
      </c>
      <c r="B47" s="55"/>
    </row>
    <row r="48" spans="1:4" ht="18" customHeight="1">
      <c r="A48" s="159" t="s">
        <v>953</v>
      </c>
      <c r="B48" s="55"/>
    </row>
    <row r="49" spans="1:2" ht="18" customHeight="1"/>
    <row r="50" spans="1:2" ht="18" customHeight="1">
      <c r="A50" s="18" t="s">
        <v>1083</v>
      </c>
      <c r="B50" s="20"/>
    </row>
    <row r="51" spans="1:2" ht="18" customHeight="1">
      <c r="A51" s="159" t="s">
        <v>137</v>
      </c>
      <c r="B51" s="17" t="s">
        <v>1084</v>
      </c>
    </row>
    <row r="52" spans="1:2" ht="18" customHeight="1">
      <c r="A52" s="159" t="s">
        <v>155</v>
      </c>
      <c r="B52" s="17" t="s">
        <v>1085</v>
      </c>
    </row>
    <row r="53" spans="1:2" ht="18" customHeight="1">
      <c r="A53" s="159" t="s">
        <v>173</v>
      </c>
      <c r="B53" s="17" t="s">
        <v>1086</v>
      </c>
    </row>
    <row r="54" spans="1:2" ht="18" customHeight="1">
      <c r="A54" s="159" t="s">
        <v>1087</v>
      </c>
      <c r="B54" s="17" t="s">
        <v>1088</v>
      </c>
    </row>
    <row r="55" spans="1:2" ht="18" customHeight="1">
      <c r="A55" s="159" t="s">
        <v>1089</v>
      </c>
      <c r="B55" s="17" t="s">
        <v>1090</v>
      </c>
    </row>
    <row r="56" spans="1:2" ht="18" customHeight="1">
      <c r="A56" s="159" t="s">
        <v>1091</v>
      </c>
      <c r="B56" s="17" t="s">
        <v>1092</v>
      </c>
    </row>
    <row r="57" spans="1:2" ht="18" customHeight="1">
      <c r="A57" s="159" t="s">
        <v>1093</v>
      </c>
      <c r="B57" s="17" t="s">
        <v>1094</v>
      </c>
    </row>
    <row r="58" spans="1:2" ht="18" customHeight="1"/>
    <row r="59" spans="1:2" ht="18" customHeight="1">
      <c r="A59" s="18" t="s">
        <v>1095</v>
      </c>
      <c r="B59" s="20"/>
    </row>
    <row r="60" spans="1:2" ht="18" customHeight="1">
      <c r="A60" s="159" t="s">
        <v>1096</v>
      </c>
      <c r="B60" s="55"/>
    </row>
    <row r="61" spans="1:2" ht="18" customHeight="1">
      <c r="A61" s="159" t="s">
        <v>1097</v>
      </c>
      <c r="B61" s="17" t="s">
        <v>1098</v>
      </c>
    </row>
    <row r="62" spans="1:2" ht="18" customHeight="1"/>
    <row r="63" spans="1:2" ht="18" customHeight="1">
      <c r="A63" s="18" t="s">
        <v>1099</v>
      </c>
      <c r="B63" s="20"/>
    </row>
    <row r="64" spans="1:2" ht="18" customHeight="1">
      <c r="A64" s="159" t="s">
        <v>1100</v>
      </c>
      <c r="B64" s="17" t="s">
        <v>1101</v>
      </c>
    </row>
    <row r="65" spans="1:4" ht="18" customHeight="1">
      <c r="A65" s="159" t="s">
        <v>1102</v>
      </c>
      <c r="B65" s="55"/>
    </row>
    <row r="66" spans="1:4" ht="18" customHeight="1">
      <c r="A66" s="159" t="s">
        <v>1103</v>
      </c>
      <c r="B66" s="55"/>
    </row>
    <row r="67" spans="1:4" ht="18" customHeight="1"/>
    <row r="68" spans="1:4" ht="24" customHeight="1">
      <c r="A68" s="13" t="s">
        <v>1104</v>
      </c>
      <c r="B68" s="15"/>
      <c r="C68" s="15"/>
      <c r="D68" s="15"/>
    </row>
    <row r="69" spans="1:4" ht="18" customHeight="1">
      <c r="A69" s="18" t="s">
        <v>1105</v>
      </c>
      <c r="B69" s="20"/>
    </row>
    <row r="70" spans="1:4" ht="18" customHeight="1">
      <c r="A70" s="159" t="s">
        <v>959</v>
      </c>
      <c r="B70" s="55"/>
    </row>
    <row r="71" spans="1:4" ht="18" customHeight="1">
      <c r="A71" s="159" t="s">
        <v>963</v>
      </c>
      <c r="B71" s="55"/>
    </row>
    <row r="72" spans="1:4" ht="18" customHeight="1">
      <c r="A72" s="159" t="s">
        <v>619</v>
      </c>
      <c r="B72" s="55"/>
    </row>
    <row r="73" spans="1:4" ht="18" customHeight="1">
      <c r="A73" s="159" t="s">
        <v>1106</v>
      </c>
      <c r="B73" s="55"/>
    </row>
    <row r="74" spans="1:4" ht="18" customHeight="1">
      <c r="A74" s="159" t="s">
        <v>607</v>
      </c>
      <c r="B74" s="55"/>
    </row>
    <row r="75" spans="1:4" ht="18" customHeight="1"/>
    <row r="76" spans="1:4" ht="18" customHeight="1">
      <c r="A76" s="18" t="s">
        <v>1107</v>
      </c>
      <c r="B76" s="20"/>
    </row>
    <row r="77" spans="1:4" ht="18" customHeight="1">
      <c r="A77" s="159" t="s">
        <v>1108</v>
      </c>
      <c r="B77" s="55"/>
    </row>
    <row r="78" spans="1:4" ht="18" customHeight="1">
      <c r="A78" s="159" t="s">
        <v>1109</v>
      </c>
      <c r="B78" s="55"/>
    </row>
    <row r="79" spans="1:4" ht="18" customHeight="1">
      <c r="A79" s="159" t="s">
        <v>1110</v>
      </c>
      <c r="B79" s="55"/>
    </row>
    <row r="80" spans="1:4" ht="18" customHeight="1">
      <c r="A80" s="159" t="s">
        <v>1111</v>
      </c>
      <c r="B80" s="55"/>
    </row>
    <row r="81" spans="1:4" ht="18" customHeight="1">
      <c r="A81" s="159" t="s">
        <v>1112</v>
      </c>
      <c r="B81" s="55"/>
    </row>
    <row r="82" spans="1:4" ht="18" customHeight="1"/>
    <row r="83" spans="1:4" ht="18" customHeight="1">
      <c r="A83" s="18" t="s">
        <v>1113</v>
      </c>
      <c r="B83" s="20"/>
    </row>
    <row r="84" spans="1:4" ht="18" customHeight="1">
      <c r="A84" s="159" t="s">
        <v>968</v>
      </c>
      <c r="B84" s="55"/>
    </row>
    <row r="85" spans="1:4" ht="18" customHeight="1">
      <c r="A85" s="159" t="s">
        <v>974</v>
      </c>
      <c r="B85" s="55"/>
    </row>
    <row r="86" spans="1:4" ht="18" customHeight="1">
      <c r="A86" s="159" t="s">
        <v>979</v>
      </c>
      <c r="B86" s="55"/>
    </row>
    <row r="87" spans="1:4" ht="18" customHeight="1">
      <c r="A87" s="159" t="s">
        <v>983</v>
      </c>
      <c r="B87" s="55"/>
    </row>
    <row r="88" spans="1:4" ht="18" customHeight="1"/>
    <row r="89" spans="1:4" ht="18" customHeight="1">
      <c r="A89" s="18" t="s">
        <v>1114</v>
      </c>
      <c r="B89" s="20"/>
    </row>
    <row r="90" spans="1:4" ht="18" customHeight="1">
      <c r="A90" s="159" t="s">
        <v>1115</v>
      </c>
      <c r="B90" s="55"/>
    </row>
    <row r="91" spans="1:4" ht="18" customHeight="1">
      <c r="A91" s="159" t="s">
        <v>1116</v>
      </c>
      <c r="B91" s="55"/>
    </row>
    <row r="92" spans="1:4" ht="18" customHeight="1">
      <c r="A92" s="159" t="s">
        <v>1117</v>
      </c>
      <c r="B92" s="17" t="s">
        <v>1118</v>
      </c>
    </row>
    <row r="93" spans="1:4" ht="18" customHeight="1"/>
    <row r="94" spans="1:4" ht="24" customHeight="1">
      <c r="A94" s="13" t="s">
        <v>1119</v>
      </c>
      <c r="B94" s="15"/>
      <c r="C94" s="15"/>
      <c r="D94" s="15"/>
    </row>
    <row r="95" spans="1:4" ht="18" customHeight="1">
      <c r="A95" s="18" t="s">
        <v>1120</v>
      </c>
      <c r="B95" s="20"/>
    </row>
    <row r="96" spans="1:4" ht="18" customHeight="1">
      <c r="A96" s="159" t="s">
        <v>620</v>
      </c>
      <c r="B96" s="55"/>
      <c r="C96" s="163" t="s">
        <v>1121</v>
      </c>
    </row>
    <row r="97" spans="1:3" ht="18" customHeight="1">
      <c r="A97" s="159" t="s">
        <v>988</v>
      </c>
      <c r="B97" s="55"/>
    </row>
    <row r="98" spans="1:3" ht="18" customHeight="1">
      <c r="A98" s="159" t="s">
        <v>1122</v>
      </c>
      <c r="B98" s="17" t="s">
        <v>1123</v>
      </c>
    </row>
    <row r="99" spans="1:3" ht="18" customHeight="1">
      <c r="A99" s="159" t="s">
        <v>1124</v>
      </c>
      <c r="B99" s="55"/>
    </row>
    <row r="100" spans="1:3" ht="18" customHeight="1">
      <c r="A100" s="159" t="s">
        <v>1125</v>
      </c>
      <c r="B100" s="162"/>
      <c r="C100" s="160" t="s">
        <v>1126</v>
      </c>
    </row>
    <row r="101" spans="1:3" ht="18" customHeight="1"/>
    <row r="102" spans="1:3" ht="18" customHeight="1">
      <c r="A102" s="18" t="s">
        <v>1127</v>
      </c>
      <c r="B102" s="20"/>
    </row>
    <row r="103" spans="1:3" ht="18" customHeight="1">
      <c r="A103" s="159" t="s">
        <v>1128</v>
      </c>
      <c r="B103" s="71"/>
    </row>
    <row r="104" spans="1:3" ht="18" customHeight="1">
      <c r="A104" s="159" t="s">
        <v>1129</v>
      </c>
      <c r="B104" s="71"/>
    </row>
    <row r="105" spans="1:3" ht="18" customHeight="1">
      <c r="A105" s="159" t="s">
        <v>1130</v>
      </c>
      <c r="B105" s="71"/>
    </row>
    <row r="106" spans="1:3" ht="18" customHeight="1">
      <c r="A106" s="159" t="s">
        <v>1131</v>
      </c>
      <c r="B106" s="71"/>
    </row>
    <row r="107" spans="1:3" ht="18" customHeight="1">
      <c r="A107" s="159" t="s">
        <v>1132</v>
      </c>
      <c r="B107" s="71"/>
    </row>
    <row r="108" spans="1:3" ht="18" customHeight="1">
      <c r="A108" s="159" t="s">
        <v>1133</v>
      </c>
      <c r="B108" s="71"/>
    </row>
    <row r="109" spans="1:3" ht="18" customHeight="1"/>
    <row r="110" spans="1:3" ht="18" customHeight="1">
      <c r="A110" s="18" t="s">
        <v>1134</v>
      </c>
      <c r="B110" s="20"/>
    </row>
    <row r="111" spans="1:3" ht="18" customHeight="1">
      <c r="A111" s="159" t="s">
        <v>1135</v>
      </c>
      <c r="B111" s="17" t="s">
        <v>1136</v>
      </c>
    </row>
    <row r="112" spans="1:3" ht="18" customHeight="1">
      <c r="A112" s="159" t="s">
        <v>1137</v>
      </c>
      <c r="B112" s="164"/>
    </row>
    <row r="113" spans="1:4" ht="18" customHeight="1">
      <c r="A113" s="159" t="s">
        <v>1138</v>
      </c>
      <c r="B113" s="165"/>
    </row>
    <row r="114" spans="1:4" ht="18" customHeight="1">
      <c r="A114" s="159" t="s">
        <v>1139</v>
      </c>
      <c r="B114" s="166"/>
    </row>
    <row r="115" spans="1:4" ht="18" customHeight="1">
      <c r="A115" s="159" t="s">
        <v>601</v>
      </c>
      <c r="B115" s="166"/>
    </row>
    <row r="116" spans="1:4" ht="18" customHeight="1"/>
    <row r="117" spans="1:4" ht="18" customHeight="1">
      <c r="A117" s="18" t="s">
        <v>1140</v>
      </c>
      <c r="B117" s="20"/>
    </row>
    <row r="118" spans="1:4" ht="18" customHeight="1">
      <c r="A118" s="159" t="s">
        <v>1141</v>
      </c>
      <c r="B118" s="55"/>
    </row>
    <row r="119" spans="1:4" ht="18" customHeight="1">
      <c r="A119" s="159" t="s">
        <v>1142</v>
      </c>
      <c r="B119" s="55"/>
    </row>
    <row r="120" spans="1:4" ht="18" customHeight="1">
      <c r="A120" s="159" t="s">
        <v>1143</v>
      </c>
      <c r="B120" s="55"/>
    </row>
    <row r="121" spans="1:4" ht="18" customHeight="1"/>
    <row r="122" spans="1:4" ht="18" customHeight="1">
      <c r="A122" s="18" t="s">
        <v>1144</v>
      </c>
      <c r="B122" s="20"/>
    </row>
    <row r="123" spans="1:4" ht="18" customHeight="1">
      <c r="A123" s="159" t="s">
        <v>1145</v>
      </c>
      <c r="B123" s="17" t="s">
        <v>1146</v>
      </c>
    </row>
    <row r="124" spans="1:4" ht="18" customHeight="1">
      <c r="A124" s="159" t="s">
        <v>1147</v>
      </c>
      <c r="B124" s="17" t="s">
        <v>1148</v>
      </c>
    </row>
    <row r="125" spans="1:4" ht="18" customHeight="1">
      <c r="A125" s="159" t="s">
        <v>1149</v>
      </c>
      <c r="B125" s="17" t="s">
        <v>1150</v>
      </c>
    </row>
    <row r="126" spans="1:4" ht="18" customHeight="1">
      <c r="A126" s="159" t="s">
        <v>1151</v>
      </c>
      <c r="B126" s="17" t="s">
        <v>1152</v>
      </c>
    </row>
    <row r="127" spans="1:4" ht="18" customHeight="1"/>
    <row r="128" spans="1:4" ht="18" customHeight="1">
      <c r="A128" s="18" t="s">
        <v>1153</v>
      </c>
      <c r="B128" s="20"/>
      <c r="C128" s="20"/>
      <c r="D128" s="20"/>
    </row>
    <row r="129" spans="1:4" ht="18" customHeight="1">
      <c r="A129" s="180" t="s">
        <v>1154</v>
      </c>
      <c r="B129" s="177" t="s">
        <v>1155</v>
      </c>
      <c r="C129" s="178" t="s">
        <v>1156</v>
      </c>
      <c r="D129" s="183" t="s">
        <v>1157</v>
      </c>
    </row>
    <row r="130" spans="1:4" ht="18" customHeight="1">
      <c r="A130" s="181" t="s">
        <v>1158</v>
      </c>
      <c r="B130" s="171"/>
      <c r="C130" s="172"/>
      <c r="D130" s="184"/>
    </row>
    <row r="131" spans="1:4" ht="18" customHeight="1">
      <c r="A131" s="181" t="s">
        <v>1159</v>
      </c>
      <c r="B131" s="171"/>
      <c r="C131" s="172"/>
      <c r="D131" s="184"/>
    </row>
    <row r="132" spans="1:4" ht="18" customHeight="1">
      <c r="A132" s="182" t="s">
        <v>1160</v>
      </c>
      <c r="B132" s="174"/>
      <c r="C132" s="175"/>
      <c r="D132" s="185"/>
    </row>
    <row r="133" spans="1:4" ht="18" customHeight="1"/>
    <row r="134" spans="1:4" ht="24" customHeight="1">
      <c r="A134" s="13" t="s">
        <v>1161</v>
      </c>
      <c r="B134" s="15"/>
      <c r="C134" s="15"/>
      <c r="D134" s="15"/>
    </row>
    <row r="135" spans="1:4" ht="18" customHeight="1">
      <c r="A135" s="18" t="s">
        <v>589</v>
      </c>
      <c r="B135" s="20"/>
    </row>
    <row r="136" spans="1:4" ht="18" customHeight="1">
      <c r="A136" s="159" t="s">
        <v>1162</v>
      </c>
      <c r="B136" s="17" t="s">
        <v>1163</v>
      </c>
    </row>
    <row r="137" spans="1:4" ht="18" customHeight="1">
      <c r="A137" s="159" t="s">
        <v>1164</v>
      </c>
      <c r="B137" s="17" t="s">
        <v>1165</v>
      </c>
    </row>
    <row r="138" spans="1:4" ht="18" customHeight="1">
      <c r="A138" s="159" t="s">
        <v>1166</v>
      </c>
      <c r="B138" s="17" t="s">
        <v>1118</v>
      </c>
    </row>
    <row r="139" spans="1:4" ht="18" customHeight="1">
      <c r="A139" s="159" t="s">
        <v>1167</v>
      </c>
      <c r="B139" s="17" t="s">
        <v>1168</v>
      </c>
    </row>
    <row r="140" spans="1:4" ht="18" customHeight="1">
      <c r="A140" s="159" t="s">
        <v>1169</v>
      </c>
      <c r="B140" s="17" t="s">
        <v>1170</v>
      </c>
    </row>
    <row r="141" spans="1:4" ht="18" customHeight="1">
      <c r="A141" s="159" t="s">
        <v>1171</v>
      </c>
      <c r="B141" s="17" t="s">
        <v>1172</v>
      </c>
    </row>
    <row r="142" spans="1:4" ht="18" customHeight="1"/>
    <row r="143" spans="1:4" ht="18" customHeight="1">
      <c r="A143" s="18" t="s">
        <v>1173</v>
      </c>
      <c r="B143" s="20"/>
    </row>
    <row r="144" spans="1:4" ht="18" customHeight="1">
      <c r="A144" s="159" t="s">
        <v>1174</v>
      </c>
      <c r="B144" s="17" t="s">
        <v>1175</v>
      </c>
    </row>
    <row r="145" spans="1:2" ht="18" customHeight="1">
      <c r="A145" s="159" t="s">
        <v>1176</v>
      </c>
      <c r="B145" s="17" t="s">
        <v>1177</v>
      </c>
    </row>
    <row r="146" spans="1:2" ht="18" customHeight="1">
      <c r="A146" s="159" t="s">
        <v>1141</v>
      </c>
      <c r="B146" s="55"/>
    </row>
    <row r="147" spans="1:2" ht="18" customHeight="1"/>
    <row r="148" spans="1:2" ht="18" customHeight="1">
      <c r="A148" s="18" t="s">
        <v>1178</v>
      </c>
      <c r="B148" s="20"/>
    </row>
    <row r="149" spans="1:2" ht="18" customHeight="1">
      <c r="A149" s="159" t="s">
        <v>1179</v>
      </c>
      <c r="B149" s="71"/>
    </row>
    <row r="150" spans="1:2" ht="18" customHeight="1">
      <c r="A150" s="159" t="s">
        <v>1180</v>
      </c>
      <c r="B150" s="71"/>
    </row>
    <row r="151" spans="1:2" ht="18" customHeight="1">
      <c r="A151" s="159" t="s">
        <v>1181</v>
      </c>
      <c r="B151" s="71"/>
    </row>
    <row r="152" spans="1:2" ht="18" customHeight="1">
      <c r="A152" s="159" t="s">
        <v>1182</v>
      </c>
      <c r="B152" s="71"/>
    </row>
    <row r="153" spans="1:2" ht="18" customHeight="1">
      <c r="A153" s="159" t="s">
        <v>225</v>
      </c>
      <c r="B153" s="71"/>
    </row>
    <row r="154" spans="1:2" ht="18" customHeight="1">
      <c r="A154" s="159" t="s">
        <v>1183</v>
      </c>
      <c r="B154" s="71"/>
    </row>
    <row r="155" spans="1:2" ht="18" customHeight="1"/>
    <row r="156" spans="1:2" ht="18" customHeight="1">
      <c r="A156" s="18" t="s">
        <v>1184</v>
      </c>
      <c r="B156" s="20"/>
    </row>
    <row r="157" spans="1:2" ht="18" customHeight="1">
      <c r="A157" s="159" t="s">
        <v>1185</v>
      </c>
      <c r="B157" s="17" t="s">
        <v>1186</v>
      </c>
    </row>
    <row r="158" spans="1:2" ht="18" customHeight="1">
      <c r="A158" s="159" t="s">
        <v>1187</v>
      </c>
      <c r="B158" s="17" t="s">
        <v>1188</v>
      </c>
    </row>
    <row r="159" spans="1:2" ht="18" customHeight="1">
      <c r="A159" s="159" t="s">
        <v>1189</v>
      </c>
      <c r="B159" s="71"/>
    </row>
    <row r="160" spans="1:2" ht="18" customHeight="1">
      <c r="A160" s="159" t="s">
        <v>1190</v>
      </c>
      <c r="B160" s="71"/>
    </row>
    <row r="161" spans="1:5" ht="18" customHeight="1">
      <c r="A161" s="159" t="s">
        <v>1191</v>
      </c>
      <c r="B161" s="71"/>
    </row>
    <row r="162" spans="1:5" ht="18" customHeight="1"/>
    <row r="163" spans="1:5" ht="24" customHeight="1">
      <c r="A163" s="13" t="s">
        <v>1192</v>
      </c>
      <c r="B163" s="15"/>
      <c r="C163" s="15"/>
      <c r="D163" s="15"/>
    </row>
    <row r="164" spans="1:5" ht="18" customHeight="1">
      <c r="A164" s="18" t="s">
        <v>1193</v>
      </c>
      <c r="B164" s="20"/>
    </row>
    <row r="165" spans="1:5" ht="18" customHeight="1">
      <c r="A165" s="159" t="s">
        <v>1194</v>
      </c>
      <c r="B165" s="17" t="s">
        <v>1195</v>
      </c>
    </row>
    <row r="166" spans="1:5" ht="18" customHeight="1">
      <c r="A166" s="159" t="s">
        <v>1196</v>
      </c>
      <c r="B166" s="17" t="s">
        <v>1197</v>
      </c>
    </row>
    <row r="167" spans="1:5" ht="18" customHeight="1">
      <c r="A167" s="159" t="s">
        <v>1198</v>
      </c>
      <c r="B167" s="17" t="s">
        <v>1199</v>
      </c>
    </row>
    <row r="168" spans="1:5" ht="18" customHeight="1">
      <c r="A168" s="159" t="s">
        <v>1200</v>
      </c>
      <c r="B168" s="17" t="s">
        <v>1201</v>
      </c>
    </row>
    <row r="169" spans="1:5" ht="18" customHeight="1">
      <c r="A169" s="159" t="s">
        <v>1202</v>
      </c>
      <c r="B169" s="17" t="s">
        <v>1203</v>
      </c>
    </row>
    <row r="170" spans="1:5" ht="18" customHeight="1">
      <c r="A170" s="159" t="s">
        <v>1204</v>
      </c>
      <c r="B170" s="17" t="s">
        <v>1205</v>
      </c>
    </row>
    <row r="171" spans="1:5" ht="18" customHeight="1"/>
    <row r="172" spans="1:5" ht="18" customHeight="1">
      <c r="A172" s="18" t="s">
        <v>1206</v>
      </c>
      <c r="B172" s="20"/>
      <c r="C172" s="20"/>
      <c r="D172" s="20"/>
      <c r="E172" s="20"/>
    </row>
    <row r="173" spans="1:5" ht="18" customHeight="1">
      <c r="A173" s="180" t="s">
        <v>1207</v>
      </c>
      <c r="B173" s="177" t="s">
        <v>1066</v>
      </c>
      <c r="C173" s="178" t="s">
        <v>1208</v>
      </c>
      <c r="D173" s="178" t="s">
        <v>1209</v>
      </c>
      <c r="E173" s="183" t="s">
        <v>18</v>
      </c>
    </row>
    <row r="174" spans="1:5" ht="18" customHeight="1">
      <c r="A174" s="192"/>
      <c r="B174" s="187"/>
      <c r="C174" s="187"/>
      <c r="D174" s="187"/>
      <c r="E174" s="194"/>
    </row>
    <row r="175" spans="1:5" ht="18" customHeight="1">
      <c r="A175" s="192"/>
      <c r="B175" s="187"/>
      <c r="C175" s="187"/>
      <c r="D175" s="187"/>
      <c r="E175" s="194"/>
    </row>
    <row r="176" spans="1:5" ht="18" customHeight="1">
      <c r="A176" s="192"/>
      <c r="B176" s="187"/>
      <c r="C176" s="187"/>
      <c r="D176" s="187"/>
      <c r="E176" s="194"/>
    </row>
    <row r="177" spans="1:5" ht="18" customHeight="1">
      <c r="A177" s="192"/>
      <c r="B177" s="187"/>
      <c r="C177" s="187"/>
      <c r="D177" s="187"/>
      <c r="E177" s="194"/>
    </row>
    <row r="178" spans="1:5" ht="18" customHeight="1">
      <c r="A178" s="193"/>
      <c r="B178" s="190"/>
      <c r="C178" s="190"/>
      <c r="D178" s="190"/>
      <c r="E178" s="195"/>
    </row>
    <row r="179" spans="1:5" ht="18" customHeight="1"/>
    <row r="180" spans="1:5" ht="18" customHeight="1">
      <c r="A180" s="18" t="s">
        <v>1210</v>
      </c>
      <c r="B180" s="20"/>
    </row>
    <row r="181" spans="1:5" ht="18" customHeight="1">
      <c r="A181" s="159" t="s">
        <v>1211</v>
      </c>
      <c r="B181" s="17" t="s">
        <v>1212</v>
      </c>
    </row>
    <row r="182" spans="1:5" ht="18" customHeight="1">
      <c r="A182" s="159" t="s">
        <v>1213</v>
      </c>
      <c r="B182" s="55"/>
    </row>
    <row r="183" spans="1:5" ht="18" customHeight="1">
      <c r="A183" s="159" t="s">
        <v>1214</v>
      </c>
      <c r="B183" s="55"/>
    </row>
    <row r="184" spans="1:5" ht="18" customHeight="1">
      <c r="A184" s="159" t="s">
        <v>1215</v>
      </c>
      <c r="B184" s="55"/>
    </row>
    <row r="185" spans="1:5" ht="18" customHeight="1">
      <c r="A185" s="159" t="s">
        <v>1216</v>
      </c>
      <c r="B185" s="55"/>
    </row>
    <row r="186" spans="1:5" ht="18" customHeight="1">
      <c r="A186" s="159" t="s">
        <v>1217</v>
      </c>
      <c r="B186" s="55"/>
    </row>
    <row r="187" spans="1:5" ht="18" customHeight="1"/>
    <row r="188" spans="1:5" ht="18" customHeight="1">
      <c r="A188" s="18" t="s">
        <v>1218</v>
      </c>
      <c r="B188" s="20"/>
    </row>
    <row r="189" spans="1:5" ht="18" customHeight="1">
      <c r="A189" s="159" t="s">
        <v>1219</v>
      </c>
      <c r="B189" s="55"/>
    </row>
    <row r="190" spans="1:5" ht="18" customHeight="1">
      <c r="A190" s="159" t="s">
        <v>1220</v>
      </c>
      <c r="B190" s="55"/>
    </row>
    <row r="191" spans="1:5" ht="18" customHeight="1">
      <c r="A191" s="159" t="s">
        <v>1221</v>
      </c>
      <c r="B191" s="55"/>
    </row>
    <row r="192" spans="1:5" ht="18" customHeight="1"/>
    <row r="193" spans="1:4" ht="24" customHeight="1">
      <c r="A193" s="13" t="s">
        <v>1222</v>
      </c>
      <c r="B193" s="15"/>
      <c r="C193" s="15"/>
      <c r="D193" s="15"/>
    </row>
    <row r="194" spans="1:4" ht="18" customHeight="1">
      <c r="A194" s="18" t="s">
        <v>593</v>
      </c>
      <c r="B194" s="20"/>
    </row>
    <row r="195" spans="1:4" ht="18" customHeight="1">
      <c r="A195" s="159" t="s">
        <v>1223</v>
      </c>
      <c r="B195" s="17" t="s">
        <v>1224</v>
      </c>
    </row>
    <row r="196" spans="1:4" ht="18" customHeight="1">
      <c r="A196" s="159" t="s">
        <v>1013</v>
      </c>
      <c r="B196" s="55"/>
    </row>
    <row r="197" spans="1:4" ht="18" customHeight="1">
      <c r="A197" s="159" t="s">
        <v>1019</v>
      </c>
      <c r="B197" s="55"/>
    </row>
    <row r="198" spans="1:4" ht="18" customHeight="1">
      <c r="A198" s="159" t="s">
        <v>1225</v>
      </c>
      <c r="B198" s="17" t="s">
        <v>1226</v>
      </c>
    </row>
    <row r="199" spans="1:4" ht="18" customHeight="1">
      <c r="A199" s="159" t="s">
        <v>1032</v>
      </c>
      <c r="B199" s="55"/>
    </row>
    <row r="200" spans="1:4" ht="18" customHeight="1"/>
    <row r="201" spans="1:4" ht="18" customHeight="1">
      <c r="A201" s="167" t="s">
        <v>1227</v>
      </c>
      <c r="B201" s="20"/>
    </row>
    <row r="202" spans="1:4" ht="18" customHeight="1">
      <c r="A202" s="136" t="s">
        <v>1024</v>
      </c>
      <c r="B202" s="168"/>
    </row>
    <row r="203" spans="1:4" ht="18" customHeight="1">
      <c r="A203" s="136" t="s">
        <v>1028</v>
      </c>
      <c r="B203" s="168"/>
    </row>
    <row r="204" spans="1:4" ht="18" customHeight="1"/>
    <row r="205" spans="1:4" ht="18" customHeight="1">
      <c r="A205" s="167" t="s">
        <v>1228</v>
      </c>
      <c r="B205" s="20"/>
      <c r="C205" s="20"/>
    </row>
    <row r="206" spans="1:4" ht="18" customHeight="1">
      <c r="A206" s="205" t="s">
        <v>84</v>
      </c>
      <c r="B206" s="203" t="s">
        <v>97</v>
      </c>
      <c r="C206" s="208" t="s">
        <v>18</v>
      </c>
    </row>
    <row r="207" spans="1:4" ht="18" customHeight="1">
      <c r="A207" s="206">
        <v>1</v>
      </c>
      <c r="B207" s="197"/>
      <c r="C207" s="209"/>
    </row>
    <row r="208" spans="1:4" ht="18" customHeight="1">
      <c r="A208" s="206">
        <v>2</v>
      </c>
      <c r="B208" s="197"/>
      <c r="C208" s="209"/>
    </row>
    <row r="209" spans="1:3" ht="18" customHeight="1">
      <c r="A209" s="206">
        <v>3</v>
      </c>
      <c r="B209" s="197"/>
      <c r="C209" s="209"/>
    </row>
    <row r="210" spans="1:3" ht="18" customHeight="1">
      <c r="A210" s="206">
        <v>4</v>
      </c>
      <c r="B210" s="197"/>
      <c r="C210" s="209"/>
    </row>
    <row r="211" spans="1:3" ht="18" customHeight="1">
      <c r="A211" s="207">
        <v>5</v>
      </c>
      <c r="B211" s="200"/>
      <c r="C211" s="210"/>
    </row>
    <row r="212" spans="1:3" ht="18" customHeight="1"/>
    <row r="213" spans="1:3" ht="18" customHeight="1">
      <c r="A213" s="18" t="s">
        <v>1229</v>
      </c>
      <c r="B213" s="20"/>
      <c r="C213" s="20"/>
    </row>
    <row r="214" spans="1:3" ht="18" customHeight="1">
      <c r="A214" s="180" t="s">
        <v>1154</v>
      </c>
      <c r="B214" s="178" t="s">
        <v>1230</v>
      </c>
      <c r="C214" s="183" t="s">
        <v>1231</v>
      </c>
    </row>
    <row r="215" spans="1:3" ht="18" customHeight="1">
      <c r="A215" s="192"/>
      <c r="B215" s="187"/>
      <c r="C215" s="194"/>
    </row>
    <row r="216" spans="1:3" ht="18" customHeight="1">
      <c r="A216" s="192"/>
      <c r="B216" s="187"/>
      <c r="C216" s="194"/>
    </row>
    <row r="217" spans="1:3" ht="18" customHeight="1">
      <c r="A217" s="193"/>
      <c r="B217" s="190"/>
      <c r="C217" s="195"/>
    </row>
    <row r="218" spans="1:3" ht="18" customHeight="1"/>
    <row r="219" spans="1:3" ht="18" customHeight="1">
      <c r="A219" s="18" t="s">
        <v>1232</v>
      </c>
      <c r="B219" s="20"/>
      <c r="C219" s="20"/>
    </row>
    <row r="220" spans="1:3" ht="18" customHeight="1">
      <c r="A220" s="180" t="s">
        <v>1233</v>
      </c>
      <c r="B220" s="183" t="s">
        <v>1234</v>
      </c>
    </row>
    <row r="221" spans="1:3" ht="18" customHeight="1">
      <c r="A221" s="192"/>
      <c r="B221" s="194"/>
    </row>
    <row r="222" spans="1:3" ht="18" customHeight="1">
      <c r="A222" s="192"/>
      <c r="B222" s="194"/>
    </row>
    <row r="223" spans="1:3" ht="18" customHeight="1">
      <c r="A223" s="193"/>
      <c r="B223" s="195"/>
    </row>
    <row r="224" spans="1:3" ht="18" customHeight="1"/>
    <row r="225" spans="1:2" ht="18" customHeight="1">
      <c r="A225" s="18" t="s">
        <v>1235</v>
      </c>
      <c r="B225" s="20"/>
    </row>
    <row r="226" spans="1:2" ht="18" customHeight="1">
      <c r="A226" s="180" t="s">
        <v>1236</v>
      </c>
      <c r="B226" s="183" t="s">
        <v>1237</v>
      </c>
    </row>
    <row r="227" spans="1:2" ht="18" customHeight="1">
      <c r="A227" s="192"/>
      <c r="B227" s="194"/>
    </row>
    <row r="228" spans="1:2" ht="18" customHeight="1">
      <c r="A228" s="193"/>
      <c r="B228" s="195"/>
    </row>
    <row r="229" spans="1:2" ht="18" customHeight="1"/>
    <row r="230" spans="1:2" ht="18" customHeight="1">
      <c r="A230" s="167" t="s">
        <v>1238</v>
      </c>
      <c r="B230" s="20"/>
    </row>
    <row r="231" spans="1:2" ht="18" customHeight="1">
      <c r="A231" s="138" t="s">
        <v>1239</v>
      </c>
      <c r="B231" s="169" t="s">
        <v>1240</v>
      </c>
    </row>
    <row r="232" spans="1:2" ht="18" customHeight="1"/>
    <row r="233" spans="1:2" ht="18" customHeight="1">
      <c r="A233" s="18" t="s">
        <v>1241</v>
      </c>
      <c r="B233" s="20"/>
    </row>
    <row r="234" spans="1:2" ht="18" customHeight="1">
      <c r="A234" s="159" t="s">
        <v>1242</v>
      </c>
      <c r="B234" s="17" t="s">
        <v>1243</v>
      </c>
    </row>
    <row r="235" spans="1:2" ht="18" customHeight="1">
      <c r="A235" s="159" t="s">
        <v>1244</v>
      </c>
      <c r="B235" s="17" t="s">
        <v>1245</v>
      </c>
    </row>
    <row r="236" spans="1:2" ht="18" customHeight="1">
      <c r="A236" s="159" t="s">
        <v>1246</v>
      </c>
      <c r="B236" s="55"/>
    </row>
    <row r="237" spans="1:2" ht="18" customHeight="1"/>
    <row r="238" spans="1:2" ht="18" customHeight="1">
      <c r="A238" s="18" t="s">
        <v>1247</v>
      </c>
      <c r="B238" s="20"/>
    </row>
    <row r="239" spans="1:2" ht="18" customHeight="1">
      <c r="A239" s="180" t="s">
        <v>14</v>
      </c>
      <c r="B239" s="183" t="s">
        <v>1248</v>
      </c>
    </row>
    <row r="240" spans="1:2" ht="18" customHeight="1">
      <c r="A240" s="211"/>
      <c r="B240" s="194"/>
    </row>
    <row r="241" spans="1:3" ht="18" customHeight="1">
      <c r="A241" s="211"/>
      <c r="B241" s="194"/>
    </row>
    <row r="242" spans="1:3" ht="18" customHeight="1">
      <c r="A242" s="212"/>
      <c r="B242" s="195"/>
    </row>
    <row r="243" spans="1:3" ht="18" customHeight="1"/>
    <row r="244" spans="1:3" ht="24" customHeight="1">
      <c r="A244" s="139" t="s">
        <v>114</v>
      </c>
      <c r="B244" s="15"/>
      <c r="C244" s="15"/>
    </row>
    <row r="245" spans="1:3" ht="18" customHeight="1">
      <c r="A245" s="23" t="s">
        <v>1249</v>
      </c>
      <c r="B245" s="23" t="s">
        <v>1250</v>
      </c>
    </row>
    <row r="246" spans="1:3" ht="18" customHeight="1">
      <c r="A246" s="23" t="s">
        <v>1251</v>
      </c>
      <c r="B246" s="140">
        <v>46096</v>
      </c>
    </row>
    <row r="247" spans="1:3" ht="18" customHeight="1">
      <c r="A247" s="23" t="s">
        <v>1252</v>
      </c>
      <c r="B247" s="23" t="s">
        <v>1253</v>
      </c>
    </row>
    <row r="248" spans="1:3" ht="18" customHeight="1">
      <c r="A248" s="141" t="s">
        <v>1254</v>
      </c>
      <c r="B248" s="142" t="s">
        <v>1255</v>
      </c>
    </row>
  </sheetData>
  <dataValidations count="5">
    <dataValidation type="list" allowBlank="1" showInputMessage="1" showErrorMessage="1" sqref="B14" xr:uid="{0E64123D-2482-4241-BFF1-6DFD2A9CDF33}">
      <formula1>"primitive,derived,boundary,disputed"</formula1>
    </dataValidation>
    <dataValidation type="list" allowBlank="1" showInputMessage="1" showErrorMessage="1" sqref="B35 B103 B104 B105 B106 B107 B108 B149 B150 B151 B152 B153 B154 B159 B160 B161 D130 D131 D132" xr:uid="{0BE47BA1-FD7C-4A10-AC34-348BB7FCA744}">
      <formula1>"TRUE,FALSE"</formula1>
    </dataValidation>
    <dataValidation type="list" allowBlank="1" showInputMessage="1" showErrorMessage="1" sqref="B74" xr:uid="{3C950CFA-ADC7-40BD-AD7A-52A81F1E737C}">
      <formula1>"universal,domain_specific,local,specialized"</formula1>
    </dataValidation>
    <dataValidation type="list" allowBlank="1" showInputMessage="1" showErrorMessage="1" sqref="B91" xr:uid="{63DD6264-85B8-477F-89AE-DCEEB3474591}">
      <formula1>"G-Q,M-F,E-C,S-R,T-K,none"</formula1>
    </dataValidation>
    <dataValidation type="list" allowBlank="1" showInputMessage="1" showErrorMessage="1" sqref="B96" xr:uid="{E6EF359C-53EF-46F3-BA81-6C7F322F0899}">
      <formula1>"empirical,experimental,observational,mathematical,logical,scriptural,historical,inferential"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4">
        <x14:dataValidation type="list" allowBlank="1" showInputMessage="1" showErrorMessage="1" xr:uid="{6807DC6E-7A66-475F-AA1C-EC2573F9A6E9}">
          <x14:formula1>
            <xm:f>DROPDOWNS!$AL$2:$AL$6</xm:f>
          </x14:formula1>
          <xm:sqref>B11</xm:sqref>
        </x14:dataValidation>
        <x14:dataValidation type="list" allowBlank="1" showInputMessage="1" showErrorMessage="1" xr:uid="{26635D52-DC38-43F9-B2BD-D806B0730CA3}">
          <x14:formula1>
            <xm:f>DROPDOWNS!$AM$2:$AM$4</xm:f>
          </x14:formula1>
          <xm:sqref>B12</xm:sqref>
        </x14:dataValidation>
        <x14:dataValidation type="list" allowBlank="1" showInputMessage="1" showErrorMessage="1" xr:uid="{B1B673A2-5E35-4DD5-A353-3728294ACB56}">
          <x14:formula1>
            <xm:f>DROPDOWNS!$AN$2:$AN$10</xm:f>
          </x14:formula1>
          <xm:sqref>B13</xm:sqref>
        </x14:dataValidation>
        <x14:dataValidation type="list" allowBlank="1" showInputMessage="1" showErrorMessage="1" xr:uid="{F26F5CA5-21BE-4E43-A102-07DD3046E86B}">
          <x14:formula1>
            <xm:f>DROPDOWNS!$AO$2:$AO$7</xm:f>
          </x14:formula1>
          <xm:sqref>B17</xm:sqref>
        </x14:dataValidation>
        <x14:dataValidation type="list" allowBlank="1" showInputMessage="1" showErrorMessage="1" xr:uid="{37C54A8A-C69A-4C22-8906-96D96089E148}">
          <x14:formula1>
            <xm:f>DROPDOWNS!$AP$2:$AP$8</xm:f>
          </x14:formula1>
          <xm:sqref>B23</xm:sqref>
        </x14:dataValidation>
        <x14:dataValidation type="list" allowBlank="1" showInputMessage="1" showErrorMessage="1" xr:uid="{559726D9-3536-46A1-A476-7F71A282AE30}">
          <x14:formula1>
            <xm:f>DROPDOWNS!$AQ$2:$AQ$11</xm:f>
          </x14:formula1>
          <xm:sqref>B27</xm:sqref>
        </x14:dataValidation>
        <x14:dataValidation type="list" allowBlank="1" showInputMessage="1" showErrorMessage="1" xr:uid="{F524561F-61FE-47FC-9054-392E446FA334}">
          <x14:formula1>
            <xm:f>DROPDOWNS!$AR$2:$AR$9</xm:f>
          </x14:formula1>
          <xm:sqref>B30</xm:sqref>
        </x14:dataValidation>
        <x14:dataValidation type="list" allowBlank="1" showInputMessage="1" showErrorMessage="1" xr:uid="{8DEE98ED-C3F0-49DF-85DB-E19CAC30C406}">
          <x14:formula1>
            <xm:f>DROPDOWNS!$AS$2:$AS$9</xm:f>
          </x14:formula1>
          <xm:sqref>B45</xm:sqref>
        </x14:dataValidation>
        <x14:dataValidation type="list" allowBlank="1" showInputMessage="1" showErrorMessage="1" xr:uid="{1B762161-42D8-42AB-95CE-702AB0BF8B2A}">
          <x14:formula1>
            <xm:f>DROPDOWNS!$AT$2:$AT$10</xm:f>
          </x14:formula1>
          <xm:sqref>B47</xm:sqref>
        </x14:dataValidation>
        <x14:dataValidation type="list" allowBlank="1" showInputMessage="1" showErrorMessage="1" xr:uid="{8C78C459-B55C-41ED-B8E2-C06C457FCB68}">
          <x14:formula1>
            <xm:f>DROPDOWNS!$AU$2:$AU$7</xm:f>
          </x14:formula1>
          <xm:sqref>B48</xm:sqref>
        </x14:dataValidation>
        <x14:dataValidation type="list" allowBlank="1" showInputMessage="1" showErrorMessage="1" xr:uid="{7F40B8CA-1696-413C-97C8-ABBED246369D}">
          <x14:formula1>
            <xm:f>DROPDOWNS!$AD$2:$AD$6</xm:f>
          </x14:formula1>
          <xm:sqref>B60</xm:sqref>
        </x14:dataValidation>
        <x14:dataValidation type="list" allowBlank="1" showInputMessage="1" showErrorMessage="1" xr:uid="{F574C51C-CBA9-4579-A792-ED83BE87C8E0}">
          <x14:formula1>
            <xm:f>DROPDOWNS!$AV$2:$AV$11</xm:f>
          </x14:formula1>
          <xm:sqref>B70</xm:sqref>
        </x14:dataValidation>
        <x14:dataValidation type="list" allowBlank="1" showInputMessage="1" showErrorMessage="1" xr:uid="{A3B8FA1D-5BE3-4A9C-9CAC-B3130279C043}">
          <x14:formula1>
            <xm:f>DROPDOWNS!$AW$2:$AW$5</xm:f>
          </x14:formula1>
          <xm:sqref>B71</xm:sqref>
        </x14:dataValidation>
        <x14:dataValidation type="list" allowBlank="1" showInputMessage="1" showErrorMessage="1" xr:uid="{77FE22E9-E9C7-4A21-995A-6C6B64ADA05B}">
          <x14:formula1>
            <xm:f>DROPDOWNS!$V$2:$V$6</xm:f>
          </x14:formula1>
          <xm:sqref>B72</xm:sqref>
        </x14:dataValidation>
        <x14:dataValidation type="list" allowBlank="1" showInputMessage="1" showErrorMessage="1" xr:uid="{B7E881C1-3767-4B1A-8B2A-E51C258B1593}">
          <x14:formula1>
            <xm:f>DROPDOWNS!$X$2:$X$7</xm:f>
          </x14:formula1>
          <xm:sqref>B73</xm:sqref>
        </x14:dataValidation>
        <x14:dataValidation type="list" allowBlank="1" showInputMessage="1" showErrorMessage="1" xr:uid="{5B94D77E-C36E-4470-8CB9-1F95396F070B}">
          <x14:formula1>
            <xm:f>DROPDOWNS!$AX$2:$AX$6</xm:f>
          </x14:formula1>
          <xm:sqref>B84</xm:sqref>
        </x14:dataValidation>
        <x14:dataValidation type="list" allowBlank="1" showInputMessage="1" showErrorMessage="1" xr:uid="{2EE11421-3275-40A2-8D54-F432286ED6E7}">
          <x14:formula1>
            <xm:f>DROPDOWNS!$AY$2:$AY$5</xm:f>
          </x14:formula1>
          <xm:sqref>B85</xm:sqref>
        </x14:dataValidation>
        <x14:dataValidation type="list" allowBlank="1" showInputMessage="1" showErrorMessage="1" xr:uid="{3FAE474C-7702-423F-BA71-298163FEC08E}">
          <x14:formula1>
            <xm:f>DROPDOWNS!$AZ$2:$AZ$5</xm:f>
          </x14:formula1>
          <xm:sqref>B86</xm:sqref>
        </x14:dataValidation>
        <x14:dataValidation type="list" allowBlank="1" showInputMessage="1" showErrorMessage="1" xr:uid="{03D1C378-11C6-4AD9-BC07-9A3DF2A4D06B}">
          <x14:formula1>
            <xm:f>DROPDOWNS!$BA$2:$BA$6</xm:f>
          </x14:formula1>
          <xm:sqref>B87</xm:sqref>
        </x14:dataValidation>
        <x14:dataValidation type="list" allowBlank="1" showInputMessage="1" showErrorMessage="1" xr:uid="{354FCA90-2292-4D0D-9996-AD6A4E250912}">
          <x14:formula1>
            <xm:f>DROPDOWNS!$E$2:$E$11</xm:f>
          </x14:formula1>
          <xm:sqref>B90</xm:sqref>
        </x14:dataValidation>
        <x14:dataValidation type="list" allowBlank="1" showInputMessage="1" showErrorMessage="1" xr:uid="{48CDE118-E6BC-45C0-88D0-7E74F30D4DBC}">
          <x14:formula1>
            <xm:f>DROPDOWNS!$BB$2:$BB$4</xm:f>
          </x14:formula1>
          <xm:sqref>B97</xm:sqref>
        </x14:dataValidation>
        <x14:dataValidation type="list" allowBlank="1" showInputMessage="1" showErrorMessage="1" xr:uid="{11C5E07A-E023-4A0F-8036-40DD1D57169E}">
          <x14:formula1>
            <xm:f>DROPDOWNS!$AI$2:$AI$6</xm:f>
          </x14:formula1>
          <xm:sqref>B99</xm:sqref>
        </x14:dataValidation>
        <x14:dataValidation type="list" allowBlank="1" showInputMessage="1" showErrorMessage="1" xr:uid="{6A74120F-FD08-48CE-A158-EE273F0C529D}">
          <x14:formula1>
            <xm:f>DROPDOWNS!$BC$2:$BC$7</xm:f>
          </x14:formula1>
          <xm:sqref>B118</xm:sqref>
        </x14:dataValidation>
        <x14:dataValidation type="list" allowBlank="1" showInputMessage="1" showErrorMessage="1" xr:uid="{9635C57F-4390-4042-AD0B-740A5B6CC913}">
          <x14:formula1>
            <xm:f>DROPDOWNS!$BD$2:$BD$5</xm:f>
          </x14:formula1>
          <xm:sqref>B119</xm:sqref>
        </x14:dataValidation>
        <x14:dataValidation type="list" allowBlank="1" showInputMessage="1" showErrorMessage="1" xr:uid="{2895F5F7-C0DD-4AF8-9B60-123362F60C8D}">
          <x14:formula1>
            <xm:f>DROPDOWNS!$BE$2:$BE$6</xm:f>
          </x14:formula1>
          <xm:sqref>B146</xm:sqref>
        </x14:dataValidation>
        <x14:dataValidation type="list" allowBlank="1" showInputMessage="1" showErrorMessage="1" xr:uid="{4EEE5C2F-7B06-4228-9474-904EF87F1BB7}">
          <x14:formula1>
            <xm:f>DROPDOWNS!$BF$2:$BF$5</xm:f>
          </x14:formula1>
          <xm:sqref>B174 B175 B176 B177 B178</xm:sqref>
        </x14:dataValidation>
        <x14:dataValidation type="list" allowBlank="1" showInputMessage="1" showErrorMessage="1" xr:uid="{CBAD6760-D8F9-401E-9056-16329251E431}">
          <x14:formula1>
            <xm:f>DROPDOWNS!$BG$2:$BG$5</xm:f>
          </x14:formula1>
          <xm:sqref>E174 E175 E176 E177 E178</xm:sqref>
        </x14:dataValidation>
        <x14:dataValidation type="list" allowBlank="1" showInputMessage="1" showErrorMessage="1" xr:uid="{D8A9502E-C987-4412-92FE-17415723CB5E}">
          <x14:formula1>
            <xm:f>DROPDOWNS!$BH$2:$BH$7</xm:f>
          </x14:formula1>
          <xm:sqref>B196</xm:sqref>
        </x14:dataValidation>
        <x14:dataValidation type="list" allowBlank="1" showInputMessage="1" showErrorMessage="1" xr:uid="{70A1D040-F3B5-4310-A530-88B7D5893B58}">
          <x14:formula1>
            <xm:f>DROPDOWNS!$BI$2:$BI$5</xm:f>
          </x14:formula1>
          <xm:sqref>B197</xm:sqref>
        </x14:dataValidation>
        <x14:dataValidation type="list" allowBlank="1" showInputMessage="1" showErrorMessage="1" xr:uid="{37833CF4-51AB-4338-91E3-746DF51351A2}">
          <x14:formula1>
            <xm:f>DROPDOWNS!$BL$2:$BL$6</xm:f>
          </x14:formula1>
          <xm:sqref>B199</xm:sqref>
        </x14:dataValidation>
        <x14:dataValidation type="list" allowBlank="1" showInputMessage="1" showErrorMessage="1" xr:uid="{E1FCD9BF-A370-4705-9B1B-DF14089B5EEC}">
          <x14:formula1>
            <xm:f>DROPDOWNS!$BJ$2:$BJ$4</xm:f>
          </x14:formula1>
          <xm:sqref>B202</xm:sqref>
        </x14:dataValidation>
        <x14:dataValidation type="list" allowBlank="1" showInputMessage="1" showErrorMessage="1" xr:uid="{86218325-452C-4679-895B-918B537837C7}">
          <x14:formula1>
            <xm:f>DROPDOWNS!$BK$2:$BK$5</xm:f>
          </x14:formula1>
          <xm:sqref>B203</xm:sqref>
        </x14:dataValidation>
        <x14:dataValidation type="list" allowBlank="1" showInputMessage="1" showErrorMessage="1" xr:uid="{B928C2EE-F028-4061-B77E-E62B8CB71BC5}">
          <x14:formula1>
            <xm:f>DROPDOWNS!$BM$2:$BM$5</xm:f>
          </x14:formula1>
          <xm:sqref>B236</xm:sqref>
        </x14:dataValidation>
        <x14:dataValidation type="list" allowBlank="1" showInputMessage="1" showErrorMessage="1" xr:uid="{B99E5E0F-6807-455F-9628-E656F93D80C2}">
          <x14:formula1>
            <xm:f>DROPDOWNS!$I$2:$I$7</xm:f>
          </x14:formula1>
          <xm:sqref>C207 C208 C209 C210 C211</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195D3-2470-4DC9-8A5D-2692902D16B5}">
  <dimension ref="A1:I125"/>
  <sheetViews>
    <sheetView workbookViewId="0">
      <pane ySplit="2" topLeftCell="A100" activePane="bottomLeft" state="frozen"/>
      <selection pane="bottomLeft"/>
    </sheetView>
  </sheetViews>
  <sheetFormatPr defaultRowHeight="14.4" outlineLevelCol="1"/>
  <cols>
    <col min="1" max="1" width="16.6640625" customWidth="1" outlineLevel="1"/>
    <col min="2" max="3" width="13" customWidth="1" outlineLevel="1"/>
    <col min="4" max="5" width="16.6640625" customWidth="1" outlineLevel="1"/>
    <col min="6" max="6" width="37" customWidth="1"/>
    <col min="7" max="7" width="40.77734375" customWidth="1"/>
    <col min="8" max="8" width="37" customWidth="1"/>
    <col min="9" max="9" width="29.6640625" customWidth="1"/>
  </cols>
  <sheetData>
    <row r="1" spans="1:9" ht="24" customHeight="1">
      <c r="A1" s="231" t="s">
        <v>1362</v>
      </c>
      <c r="B1" s="231" t="s">
        <v>1363</v>
      </c>
      <c r="C1" s="231" t="s">
        <v>1364</v>
      </c>
      <c r="D1" s="231" t="s">
        <v>1365</v>
      </c>
      <c r="E1" s="238" t="s">
        <v>1366</v>
      </c>
      <c r="F1" s="10" t="s">
        <v>1256</v>
      </c>
      <c r="G1" s="11"/>
      <c r="H1" s="11"/>
      <c r="I1" s="11"/>
    </row>
    <row r="2" spans="1:9">
      <c r="A2" s="232" t="s">
        <v>1367</v>
      </c>
      <c r="B2" s="232" t="s">
        <v>1368</v>
      </c>
      <c r="C2" s="232" t="s">
        <v>1369</v>
      </c>
      <c r="D2" s="232" t="s">
        <v>1370</v>
      </c>
      <c r="E2" s="239" t="s">
        <v>1371</v>
      </c>
      <c r="F2" s="12" t="s">
        <v>1257</v>
      </c>
      <c r="G2" s="11"/>
      <c r="H2" s="11"/>
      <c r="I2" s="11"/>
    </row>
    <row r="3" spans="1:9">
      <c r="E3" s="240"/>
    </row>
    <row r="4" spans="1:9" ht="24" customHeight="1">
      <c r="A4" s="233" t="s">
        <v>1372</v>
      </c>
      <c r="B4" s="233" t="s">
        <v>1368</v>
      </c>
      <c r="C4" s="233" t="s">
        <v>1369</v>
      </c>
      <c r="D4" s="233" t="s">
        <v>1370</v>
      </c>
      <c r="E4" s="241" t="s">
        <v>1373</v>
      </c>
      <c r="F4" s="213" t="s">
        <v>1258</v>
      </c>
      <c r="G4" s="214"/>
      <c r="H4" s="214"/>
      <c r="I4" s="214"/>
    </row>
    <row r="5" spans="1:9">
      <c r="A5" s="233" t="s">
        <v>1374</v>
      </c>
      <c r="B5" s="233" t="s">
        <v>1375</v>
      </c>
      <c r="C5" s="233" t="s">
        <v>1369</v>
      </c>
      <c r="D5" s="233" t="s">
        <v>1370</v>
      </c>
      <c r="E5" s="241" t="s">
        <v>1376</v>
      </c>
      <c r="F5" s="215" t="s">
        <v>1259</v>
      </c>
      <c r="G5" s="216"/>
      <c r="H5" s="216"/>
      <c r="I5" s="216"/>
    </row>
    <row r="6" spans="1:9">
      <c r="E6" s="240"/>
    </row>
    <row r="7" spans="1:9">
      <c r="E7" s="240"/>
      <c r="F7" s="167" t="s">
        <v>1260</v>
      </c>
      <c r="G7" s="20"/>
      <c r="H7" s="20"/>
    </row>
    <row r="8" spans="1:9">
      <c r="E8" s="240"/>
      <c r="F8" s="202" t="s">
        <v>1261</v>
      </c>
      <c r="G8" s="203" t="s">
        <v>1262</v>
      </c>
      <c r="H8" s="208" t="s">
        <v>1263</v>
      </c>
    </row>
    <row r="9" spans="1:9">
      <c r="A9" s="234" t="s">
        <v>1377</v>
      </c>
      <c r="B9" s="234" t="s">
        <v>1378</v>
      </c>
      <c r="C9" s="235" t="s">
        <v>1379</v>
      </c>
      <c r="D9" s="234" t="s">
        <v>1370</v>
      </c>
      <c r="E9" s="242" t="s">
        <v>1380</v>
      </c>
      <c r="F9" s="224" t="s">
        <v>1264</v>
      </c>
      <c r="G9" s="197"/>
      <c r="H9" s="209"/>
    </row>
    <row r="10" spans="1:9">
      <c r="A10" s="234" t="s">
        <v>1381</v>
      </c>
      <c r="B10" s="234" t="s">
        <v>1378</v>
      </c>
      <c r="C10" s="235" t="s">
        <v>1379</v>
      </c>
      <c r="D10" s="234" t="s">
        <v>1370</v>
      </c>
      <c r="E10" s="242" t="s">
        <v>1380</v>
      </c>
      <c r="F10" s="224" t="s">
        <v>1265</v>
      </c>
      <c r="G10" s="197"/>
      <c r="H10" s="209"/>
    </row>
    <row r="11" spans="1:9">
      <c r="A11" s="234" t="s">
        <v>1382</v>
      </c>
      <c r="B11" s="234" t="s">
        <v>1378</v>
      </c>
      <c r="C11" s="235" t="s">
        <v>1379</v>
      </c>
      <c r="D11" s="234" t="s">
        <v>1370</v>
      </c>
      <c r="E11" s="242" t="s">
        <v>1380</v>
      </c>
      <c r="F11" s="224" t="s">
        <v>1266</v>
      </c>
      <c r="G11" s="197"/>
      <c r="H11" s="209"/>
    </row>
    <row r="12" spans="1:9">
      <c r="A12" s="234" t="s">
        <v>1383</v>
      </c>
      <c r="B12" s="234" t="s">
        <v>1378</v>
      </c>
      <c r="C12" s="235" t="s">
        <v>1379</v>
      </c>
      <c r="D12" s="234" t="s">
        <v>1370</v>
      </c>
      <c r="E12" s="242" t="s">
        <v>1380</v>
      </c>
      <c r="F12" s="224" t="s">
        <v>1267</v>
      </c>
      <c r="G12" s="197"/>
      <c r="H12" s="209"/>
    </row>
    <row r="13" spans="1:9">
      <c r="A13" s="234" t="s">
        <v>1384</v>
      </c>
      <c r="B13" s="234" t="s">
        <v>1378</v>
      </c>
      <c r="C13" s="235" t="s">
        <v>1379</v>
      </c>
      <c r="D13" s="234" t="s">
        <v>1370</v>
      </c>
      <c r="E13" s="242" t="s">
        <v>1380</v>
      </c>
      <c r="F13" s="225" t="s">
        <v>1268</v>
      </c>
      <c r="G13" s="200"/>
      <c r="H13" s="210"/>
    </row>
    <row r="14" spans="1:9">
      <c r="E14" s="240"/>
    </row>
    <row r="15" spans="1:9">
      <c r="E15" s="240"/>
      <c r="F15" s="18" t="s">
        <v>1269</v>
      </c>
      <c r="G15" s="20"/>
      <c r="H15" s="20"/>
      <c r="I15" s="20"/>
    </row>
    <row r="16" spans="1:9">
      <c r="E16" s="240"/>
      <c r="F16" s="176" t="s">
        <v>84</v>
      </c>
      <c r="G16" s="178" t="s">
        <v>1270</v>
      </c>
      <c r="H16" s="178" t="s">
        <v>1271</v>
      </c>
      <c r="I16" s="183" t="s">
        <v>18</v>
      </c>
    </row>
    <row r="17" spans="1:9">
      <c r="A17" s="234" t="s">
        <v>1385</v>
      </c>
      <c r="B17" s="234" t="s">
        <v>1386</v>
      </c>
      <c r="C17" s="235" t="s">
        <v>1379</v>
      </c>
      <c r="D17" s="234" t="s">
        <v>1370</v>
      </c>
      <c r="E17" s="242" t="s">
        <v>1380</v>
      </c>
      <c r="F17" s="196">
        <v>1</v>
      </c>
      <c r="G17" s="197"/>
      <c r="H17" s="197"/>
      <c r="I17" s="209"/>
    </row>
    <row r="18" spans="1:9">
      <c r="A18" s="234" t="s">
        <v>1387</v>
      </c>
      <c r="B18" s="234" t="s">
        <v>1386</v>
      </c>
      <c r="C18" s="235" t="s">
        <v>1379</v>
      </c>
      <c r="D18" s="234" t="s">
        <v>1370</v>
      </c>
      <c r="E18" s="242" t="s">
        <v>1380</v>
      </c>
      <c r="F18" s="196">
        <v>2</v>
      </c>
      <c r="G18" s="197"/>
      <c r="H18" s="197"/>
      <c r="I18" s="209"/>
    </row>
    <row r="19" spans="1:9">
      <c r="E19" s="240"/>
      <c r="F19" s="196">
        <v>3</v>
      </c>
      <c r="G19" s="197"/>
      <c r="H19" s="197"/>
      <c r="I19" s="209"/>
    </row>
    <row r="20" spans="1:9">
      <c r="E20" s="240"/>
      <c r="F20" s="196">
        <v>4</v>
      </c>
      <c r="G20" s="197"/>
      <c r="H20" s="197"/>
      <c r="I20" s="209"/>
    </row>
    <row r="21" spans="1:9">
      <c r="E21" s="240"/>
      <c r="F21" s="199">
        <v>5</v>
      </c>
      <c r="G21" s="200"/>
      <c r="H21" s="200"/>
      <c r="I21" s="210"/>
    </row>
    <row r="22" spans="1:9">
      <c r="E22" s="240"/>
    </row>
    <row r="23" spans="1:9">
      <c r="E23" s="240"/>
      <c r="F23" s="18" t="s">
        <v>1272</v>
      </c>
      <c r="G23" s="20"/>
    </row>
    <row r="24" spans="1:9">
      <c r="A24" s="234" t="s">
        <v>1388</v>
      </c>
      <c r="B24" s="234" t="s">
        <v>1389</v>
      </c>
      <c r="C24" s="236" t="s">
        <v>1390</v>
      </c>
      <c r="D24" s="236" t="s">
        <v>1391</v>
      </c>
      <c r="E24" s="243" t="s">
        <v>1392</v>
      </c>
      <c r="F24" s="159" t="s">
        <v>1273</v>
      </c>
      <c r="G24" s="71"/>
    </row>
    <row r="25" spans="1:9">
      <c r="A25" s="233" t="s">
        <v>1393</v>
      </c>
      <c r="B25" s="233" t="s">
        <v>1394</v>
      </c>
      <c r="C25" s="236" t="s">
        <v>1390</v>
      </c>
      <c r="D25" s="236" t="s">
        <v>1395</v>
      </c>
      <c r="E25" s="243" t="s">
        <v>1392</v>
      </c>
      <c r="F25" s="137" t="s">
        <v>1274</v>
      </c>
      <c r="G25" s="217"/>
    </row>
    <row r="26" spans="1:9">
      <c r="A26" s="235" t="s">
        <v>1396</v>
      </c>
      <c r="B26" s="235" t="s">
        <v>1394</v>
      </c>
      <c r="C26" s="236" t="s">
        <v>1390</v>
      </c>
      <c r="D26" s="236" t="s">
        <v>1395</v>
      </c>
      <c r="E26" s="243" t="s">
        <v>1392</v>
      </c>
      <c r="F26" s="218" t="s">
        <v>1275</v>
      </c>
      <c r="G26" s="219"/>
    </row>
    <row r="27" spans="1:9">
      <c r="E27" s="240"/>
    </row>
    <row r="28" spans="1:9" ht="24" customHeight="1">
      <c r="A28" s="233" t="s">
        <v>1397</v>
      </c>
      <c r="B28" s="233" t="s">
        <v>1368</v>
      </c>
      <c r="C28" s="233" t="s">
        <v>1369</v>
      </c>
      <c r="D28" s="233" t="s">
        <v>1398</v>
      </c>
      <c r="E28" s="241" t="s">
        <v>1373</v>
      </c>
      <c r="F28" s="13" t="s">
        <v>1276</v>
      </c>
      <c r="G28" s="15"/>
      <c r="H28" s="15"/>
      <c r="I28" s="15"/>
    </row>
    <row r="29" spans="1:9">
      <c r="A29" s="232" t="s">
        <v>1399</v>
      </c>
      <c r="B29" s="232" t="s">
        <v>1375</v>
      </c>
      <c r="C29" s="232" t="s">
        <v>1369</v>
      </c>
      <c r="D29" s="232" t="s">
        <v>1370</v>
      </c>
      <c r="E29" s="239" t="s">
        <v>1376</v>
      </c>
      <c r="F29" s="220" t="s">
        <v>1277</v>
      </c>
      <c r="G29" s="11"/>
      <c r="H29" s="11"/>
      <c r="I29" s="11"/>
    </row>
    <row r="30" spans="1:9">
      <c r="E30" s="240"/>
    </row>
    <row r="31" spans="1:9">
      <c r="E31" s="240"/>
      <c r="F31" s="18" t="s">
        <v>1278</v>
      </c>
      <c r="G31" s="20"/>
      <c r="H31" s="20"/>
    </row>
    <row r="32" spans="1:9">
      <c r="E32" s="240"/>
      <c r="F32" s="176" t="s">
        <v>84</v>
      </c>
      <c r="G32" s="178" t="s">
        <v>1279</v>
      </c>
      <c r="H32" s="183" t="s">
        <v>1280</v>
      </c>
    </row>
    <row r="33" spans="1:9">
      <c r="A33" s="234" t="s">
        <v>1400</v>
      </c>
      <c r="B33" s="234" t="s">
        <v>1386</v>
      </c>
      <c r="C33" s="235" t="s">
        <v>1379</v>
      </c>
      <c r="D33" s="234" t="s">
        <v>1401</v>
      </c>
      <c r="E33" s="242" t="s">
        <v>1380</v>
      </c>
      <c r="F33" s="226">
        <v>1</v>
      </c>
      <c r="G33" s="187"/>
      <c r="H33" s="194"/>
    </row>
    <row r="34" spans="1:9">
      <c r="A34" s="234" t="s">
        <v>1402</v>
      </c>
      <c r="B34" s="234" t="s">
        <v>1386</v>
      </c>
      <c r="C34" s="235" t="s">
        <v>1379</v>
      </c>
      <c r="D34" s="234" t="s">
        <v>1401</v>
      </c>
      <c r="E34" s="242" t="s">
        <v>1380</v>
      </c>
      <c r="F34" s="226">
        <v>2</v>
      </c>
      <c r="G34" s="187"/>
      <c r="H34" s="194"/>
    </row>
    <row r="35" spans="1:9">
      <c r="E35" s="240"/>
      <c r="F35" s="226">
        <v>3</v>
      </c>
      <c r="G35" s="187"/>
      <c r="H35" s="194"/>
    </row>
    <row r="36" spans="1:9">
      <c r="E36" s="240"/>
      <c r="F36" s="226">
        <v>4</v>
      </c>
      <c r="G36" s="187"/>
      <c r="H36" s="194"/>
    </row>
    <row r="37" spans="1:9">
      <c r="E37" s="240"/>
      <c r="F37" s="227">
        <v>5</v>
      </c>
      <c r="G37" s="190"/>
      <c r="H37" s="195"/>
    </row>
    <row r="38" spans="1:9">
      <c r="E38" s="240"/>
    </row>
    <row r="39" spans="1:9">
      <c r="A39" s="234" t="s">
        <v>1403</v>
      </c>
      <c r="B39" s="234" t="s">
        <v>1404</v>
      </c>
      <c r="C39" s="235" t="s">
        <v>1379</v>
      </c>
      <c r="D39" s="234" t="s">
        <v>1396</v>
      </c>
      <c r="E39" s="242" t="s">
        <v>1405</v>
      </c>
      <c r="F39" s="159" t="s">
        <v>1281</v>
      </c>
      <c r="G39" s="17" t="s">
        <v>1282</v>
      </c>
    </row>
    <row r="40" spans="1:9">
      <c r="A40" s="234" t="s">
        <v>1406</v>
      </c>
      <c r="B40" s="234" t="s">
        <v>1404</v>
      </c>
      <c r="C40" s="235" t="s">
        <v>1379</v>
      </c>
      <c r="D40" s="234" t="s">
        <v>1396</v>
      </c>
      <c r="E40" s="242" t="s">
        <v>1405</v>
      </c>
      <c r="F40" s="159" t="s">
        <v>1283</v>
      </c>
      <c r="G40" s="17" t="s">
        <v>1284</v>
      </c>
    </row>
    <row r="41" spans="1:9">
      <c r="A41" s="234" t="s">
        <v>1407</v>
      </c>
      <c r="B41" s="234" t="s">
        <v>1404</v>
      </c>
      <c r="C41" s="235" t="s">
        <v>1379</v>
      </c>
      <c r="D41" s="234" t="s">
        <v>1396</v>
      </c>
      <c r="E41" s="242" t="s">
        <v>1405</v>
      </c>
      <c r="F41" s="159" t="s">
        <v>1285</v>
      </c>
      <c r="G41" s="17" t="s">
        <v>1286</v>
      </c>
    </row>
    <row r="42" spans="1:9">
      <c r="A42" s="234" t="s">
        <v>1408</v>
      </c>
      <c r="B42" s="234" t="s">
        <v>1404</v>
      </c>
      <c r="C42" s="235" t="s">
        <v>1379</v>
      </c>
      <c r="D42" s="234" t="s">
        <v>1396</v>
      </c>
      <c r="E42" s="242" t="s">
        <v>1405</v>
      </c>
      <c r="F42" s="159" t="s">
        <v>1287</v>
      </c>
      <c r="G42" s="17" t="s">
        <v>1288</v>
      </c>
    </row>
    <row r="43" spans="1:9">
      <c r="E43" s="240"/>
    </row>
    <row r="44" spans="1:9" ht="24" customHeight="1">
      <c r="A44" s="233" t="s">
        <v>1409</v>
      </c>
      <c r="B44" s="233" t="s">
        <v>1368</v>
      </c>
      <c r="C44" s="233" t="s">
        <v>1369</v>
      </c>
      <c r="D44" s="233" t="s">
        <v>1410</v>
      </c>
      <c r="E44" s="241" t="s">
        <v>1373</v>
      </c>
      <c r="F44" s="13" t="s">
        <v>1289</v>
      </c>
      <c r="G44" s="15"/>
      <c r="H44" s="15"/>
      <c r="I44" s="15"/>
    </row>
    <row r="45" spans="1:9">
      <c r="E45" s="240"/>
      <c r="F45" s="221" t="s">
        <v>1290</v>
      </c>
      <c r="G45" s="11"/>
      <c r="H45" s="11"/>
      <c r="I45" s="11"/>
    </row>
    <row r="46" spans="1:9">
      <c r="E46" s="240"/>
    </row>
    <row r="47" spans="1:9">
      <c r="E47" s="240"/>
      <c r="F47" s="18" t="s">
        <v>1291</v>
      </c>
      <c r="G47" s="20"/>
    </row>
    <row r="48" spans="1:9">
      <c r="A48" s="234" t="s">
        <v>1411</v>
      </c>
      <c r="B48" s="234" t="s">
        <v>1404</v>
      </c>
      <c r="C48" s="235" t="s">
        <v>1379</v>
      </c>
      <c r="D48" s="234" t="s">
        <v>1370</v>
      </c>
      <c r="E48" s="242" t="s">
        <v>1412</v>
      </c>
      <c r="F48" s="159" t="s">
        <v>1164</v>
      </c>
      <c r="G48" s="17" t="s">
        <v>1292</v>
      </c>
    </row>
    <row r="49" spans="1:9">
      <c r="A49" s="234" t="s">
        <v>1413</v>
      </c>
      <c r="B49" s="234" t="s">
        <v>1404</v>
      </c>
      <c r="C49" s="235" t="s">
        <v>1379</v>
      </c>
      <c r="D49" s="234" t="s">
        <v>1370</v>
      </c>
      <c r="E49" s="242" t="s">
        <v>1412</v>
      </c>
      <c r="F49" s="159" t="s">
        <v>1166</v>
      </c>
      <c r="G49" s="17" t="s">
        <v>1293</v>
      </c>
    </row>
    <row r="50" spans="1:9">
      <c r="A50" s="234" t="s">
        <v>1414</v>
      </c>
      <c r="B50" s="234" t="s">
        <v>1404</v>
      </c>
      <c r="C50" s="235" t="s">
        <v>1379</v>
      </c>
      <c r="D50" s="234" t="s">
        <v>1370</v>
      </c>
      <c r="E50" s="242" t="s">
        <v>1405</v>
      </c>
      <c r="F50" s="159" t="s">
        <v>1294</v>
      </c>
      <c r="G50" s="17" t="s">
        <v>1295</v>
      </c>
    </row>
    <row r="51" spans="1:9">
      <c r="E51" s="240"/>
      <c r="F51" s="159" t="s">
        <v>1171</v>
      </c>
      <c r="G51" s="17" t="s">
        <v>1296</v>
      </c>
    </row>
    <row r="52" spans="1:9">
      <c r="A52" s="233" t="s">
        <v>1415</v>
      </c>
      <c r="B52" s="233" t="s">
        <v>1404</v>
      </c>
      <c r="C52" s="235" t="s">
        <v>1379</v>
      </c>
      <c r="D52" s="233" t="s">
        <v>1416</v>
      </c>
      <c r="E52" s="241" t="s">
        <v>1417</v>
      </c>
      <c r="F52" s="137" t="s">
        <v>1297</v>
      </c>
      <c r="G52" s="138" t="s">
        <v>1298</v>
      </c>
    </row>
    <row r="53" spans="1:9">
      <c r="E53" s="240"/>
    </row>
    <row r="54" spans="1:9" ht="24" customHeight="1">
      <c r="A54" s="233" t="s">
        <v>1418</v>
      </c>
      <c r="B54" s="233" t="s">
        <v>1368</v>
      </c>
      <c r="C54" s="233" t="s">
        <v>1369</v>
      </c>
      <c r="D54" s="233" t="s">
        <v>1419</v>
      </c>
      <c r="E54" s="241" t="s">
        <v>1373</v>
      </c>
      <c r="F54" s="13" t="s">
        <v>1299</v>
      </c>
      <c r="G54" s="15"/>
      <c r="H54" s="15"/>
      <c r="I54" s="15"/>
    </row>
    <row r="55" spans="1:9">
      <c r="E55" s="240"/>
      <c r="F55" s="220" t="s">
        <v>1300</v>
      </c>
      <c r="G55" s="11"/>
      <c r="H55" s="11"/>
      <c r="I55" s="11"/>
    </row>
    <row r="56" spans="1:9">
      <c r="E56" s="240"/>
    </row>
    <row r="57" spans="1:9">
      <c r="E57" s="240"/>
      <c r="F57" s="18" t="s">
        <v>1301</v>
      </c>
      <c r="G57" s="20"/>
      <c r="H57" s="20"/>
      <c r="I57" s="20"/>
    </row>
    <row r="58" spans="1:9">
      <c r="E58" s="240"/>
      <c r="F58" s="176" t="s">
        <v>84</v>
      </c>
      <c r="G58" s="178" t="s">
        <v>587</v>
      </c>
      <c r="H58" s="178" t="s">
        <v>1066</v>
      </c>
      <c r="I58" s="183" t="s">
        <v>1302</v>
      </c>
    </row>
    <row r="59" spans="1:9">
      <c r="A59" s="234" t="s">
        <v>1420</v>
      </c>
      <c r="B59" s="234" t="s">
        <v>1421</v>
      </c>
      <c r="C59" s="235" t="s">
        <v>1379</v>
      </c>
      <c r="D59" s="234" t="s">
        <v>1396</v>
      </c>
      <c r="E59" s="242" t="s">
        <v>1380</v>
      </c>
      <c r="F59" s="226">
        <v>1</v>
      </c>
      <c r="G59" s="187"/>
      <c r="H59" s="187"/>
      <c r="I59" s="194"/>
    </row>
    <row r="60" spans="1:9">
      <c r="E60" s="240"/>
      <c r="F60" s="226">
        <v>2</v>
      </c>
      <c r="G60" s="187"/>
      <c r="H60" s="187"/>
      <c r="I60" s="194"/>
    </row>
    <row r="61" spans="1:9">
      <c r="E61" s="240"/>
      <c r="F61" s="226">
        <v>3</v>
      </c>
      <c r="G61" s="187"/>
      <c r="H61" s="187"/>
      <c r="I61" s="194"/>
    </row>
    <row r="62" spans="1:9">
      <c r="E62" s="240"/>
      <c r="F62" s="226">
        <v>4</v>
      </c>
      <c r="G62" s="187"/>
      <c r="H62" s="187"/>
      <c r="I62" s="194"/>
    </row>
    <row r="63" spans="1:9">
      <c r="E63" s="240"/>
      <c r="F63" s="227">
        <v>5</v>
      </c>
      <c r="G63" s="190"/>
      <c r="H63" s="190"/>
      <c r="I63" s="195"/>
    </row>
    <row r="64" spans="1:9">
      <c r="E64" s="240"/>
    </row>
    <row r="65" spans="1:9">
      <c r="E65" s="240"/>
      <c r="F65" s="18" t="s">
        <v>1303</v>
      </c>
      <c r="G65" s="20"/>
    </row>
    <row r="66" spans="1:9">
      <c r="A66" s="234" t="s">
        <v>1422</v>
      </c>
      <c r="B66" s="234" t="s">
        <v>1423</v>
      </c>
      <c r="C66" s="235" t="s">
        <v>1379</v>
      </c>
      <c r="D66" s="234" t="s">
        <v>1424</v>
      </c>
      <c r="E66" s="242" t="s">
        <v>1412</v>
      </c>
      <c r="F66" s="159" t="s">
        <v>1124</v>
      </c>
      <c r="G66" s="55"/>
    </row>
    <row r="67" spans="1:9">
      <c r="A67" s="234" t="s">
        <v>1425</v>
      </c>
      <c r="B67" s="234" t="s">
        <v>1404</v>
      </c>
      <c r="C67" s="235" t="s">
        <v>1379</v>
      </c>
      <c r="D67" s="234" t="s">
        <v>1424</v>
      </c>
      <c r="E67" s="241" t="s">
        <v>1417</v>
      </c>
      <c r="F67" s="159" t="s">
        <v>1304</v>
      </c>
      <c r="G67" s="17" t="s">
        <v>1305</v>
      </c>
    </row>
    <row r="68" spans="1:9">
      <c r="E68" s="240"/>
    </row>
    <row r="69" spans="1:9" ht="24" customHeight="1">
      <c r="A69" s="233" t="s">
        <v>1426</v>
      </c>
      <c r="B69" s="233" t="s">
        <v>1368</v>
      </c>
      <c r="C69" s="233" t="s">
        <v>1369</v>
      </c>
      <c r="D69" s="233" t="s">
        <v>1427</v>
      </c>
      <c r="E69" s="241" t="s">
        <v>1373</v>
      </c>
      <c r="F69" s="13" t="s">
        <v>1306</v>
      </c>
      <c r="G69" s="15"/>
      <c r="H69" s="15"/>
      <c r="I69" s="15"/>
    </row>
    <row r="70" spans="1:9">
      <c r="E70" s="240"/>
      <c r="F70" s="220" t="s">
        <v>1307</v>
      </c>
      <c r="G70" s="11"/>
      <c r="H70" s="11"/>
      <c r="I70" s="11"/>
    </row>
    <row r="71" spans="1:9">
      <c r="E71" s="240"/>
    </row>
    <row r="72" spans="1:9">
      <c r="E72" s="240"/>
      <c r="F72" s="18" t="s">
        <v>1308</v>
      </c>
      <c r="G72" s="20"/>
    </row>
    <row r="73" spans="1:9">
      <c r="A73" s="234" t="s">
        <v>1428</v>
      </c>
      <c r="B73" s="234" t="s">
        <v>1404</v>
      </c>
      <c r="C73" s="235" t="s">
        <v>1379</v>
      </c>
      <c r="D73" s="234" t="s">
        <v>1429</v>
      </c>
      <c r="E73" s="241" t="s">
        <v>1417</v>
      </c>
      <c r="F73" s="159" t="s">
        <v>1309</v>
      </c>
      <c r="G73" s="17" t="s">
        <v>1310</v>
      </c>
    </row>
    <row r="74" spans="1:9">
      <c r="A74" s="234" t="s">
        <v>1430</v>
      </c>
      <c r="B74" s="234" t="s">
        <v>1423</v>
      </c>
      <c r="C74" s="235" t="s">
        <v>1379</v>
      </c>
      <c r="D74" s="234" t="s">
        <v>1370</v>
      </c>
      <c r="E74" s="242" t="s">
        <v>1412</v>
      </c>
      <c r="F74" s="159" t="s">
        <v>959</v>
      </c>
      <c r="G74" s="55"/>
    </row>
    <row r="75" spans="1:9">
      <c r="A75" s="234" t="s">
        <v>1431</v>
      </c>
      <c r="B75" s="234" t="s">
        <v>1423</v>
      </c>
      <c r="C75" s="235" t="s">
        <v>1379</v>
      </c>
      <c r="D75" s="234" t="s">
        <v>1370</v>
      </c>
      <c r="E75" s="242" t="s">
        <v>1412</v>
      </c>
      <c r="F75" s="159" t="s">
        <v>619</v>
      </c>
      <c r="G75" s="55"/>
    </row>
    <row r="76" spans="1:9">
      <c r="A76" s="234" t="s">
        <v>1432</v>
      </c>
      <c r="B76" s="234" t="s">
        <v>1423</v>
      </c>
      <c r="C76" s="235" t="s">
        <v>1379</v>
      </c>
      <c r="D76" s="234" t="s">
        <v>1370</v>
      </c>
      <c r="E76" s="242" t="s">
        <v>1412</v>
      </c>
      <c r="F76" s="159" t="s">
        <v>1106</v>
      </c>
      <c r="G76" s="55"/>
    </row>
    <row r="77" spans="1:9">
      <c r="A77" s="234" t="s">
        <v>1433</v>
      </c>
      <c r="B77" s="234" t="s">
        <v>1423</v>
      </c>
      <c r="C77" s="235" t="s">
        <v>1379</v>
      </c>
      <c r="D77" s="234" t="s">
        <v>1370</v>
      </c>
      <c r="E77" s="242" t="s">
        <v>1412</v>
      </c>
      <c r="F77" s="159" t="s">
        <v>607</v>
      </c>
      <c r="G77" s="55"/>
    </row>
    <row r="78" spans="1:9">
      <c r="E78" s="240"/>
    </row>
    <row r="79" spans="1:9" ht="24" customHeight="1">
      <c r="A79" s="233" t="s">
        <v>1434</v>
      </c>
      <c r="B79" s="233" t="s">
        <v>1368</v>
      </c>
      <c r="C79" s="233" t="s">
        <v>1369</v>
      </c>
      <c r="D79" s="233" t="s">
        <v>1435</v>
      </c>
      <c r="E79" s="241" t="s">
        <v>1373</v>
      </c>
      <c r="F79" s="13" t="s">
        <v>1311</v>
      </c>
      <c r="G79" s="15"/>
      <c r="H79" s="15"/>
      <c r="I79" s="15"/>
    </row>
    <row r="80" spans="1:9">
      <c r="E80" s="240"/>
      <c r="F80" s="221" t="s">
        <v>1312</v>
      </c>
      <c r="G80" s="11"/>
      <c r="H80" s="11"/>
      <c r="I80" s="11"/>
    </row>
    <row r="81" spans="1:9">
      <c r="E81" s="240"/>
    </row>
    <row r="82" spans="1:9">
      <c r="E82" s="240"/>
      <c r="F82" s="18" t="s">
        <v>1313</v>
      </c>
      <c r="G82" s="20"/>
      <c r="H82" s="20"/>
    </row>
    <row r="83" spans="1:9">
      <c r="A83" s="234" t="s">
        <v>1436</v>
      </c>
      <c r="B83" s="234" t="s">
        <v>1423</v>
      </c>
      <c r="C83" s="235" t="s">
        <v>1379</v>
      </c>
      <c r="D83" s="234" t="s">
        <v>1370</v>
      </c>
      <c r="E83" s="242" t="s">
        <v>1412</v>
      </c>
      <c r="F83" s="159" t="s">
        <v>1314</v>
      </c>
      <c r="G83" s="55"/>
    </row>
    <row r="84" spans="1:9">
      <c r="E84" s="240"/>
      <c r="F84" s="159" t="s">
        <v>1315</v>
      </c>
      <c r="G84" s="17" t="s">
        <v>1316</v>
      </c>
    </row>
    <row r="85" spans="1:9">
      <c r="E85" s="240"/>
      <c r="F85" s="159" t="s">
        <v>1317</v>
      </c>
      <c r="G85" s="17" t="s">
        <v>1318</v>
      </c>
    </row>
    <row r="86" spans="1:9">
      <c r="A86" s="234" t="s">
        <v>1437</v>
      </c>
      <c r="B86" s="234" t="s">
        <v>1423</v>
      </c>
      <c r="C86" s="235" t="s">
        <v>1379</v>
      </c>
      <c r="D86" s="234" t="s">
        <v>1438</v>
      </c>
      <c r="E86" s="242" t="s">
        <v>1412</v>
      </c>
      <c r="F86" s="159" t="s">
        <v>1096</v>
      </c>
      <c r="G86" s="55"/>
    </row>
    <row r="87" spans="1:9">
      <c r="E87" s="240"/>
    </row>
    <row r="88" spans="1:9">
      <c r="E88" s="240"/>
      <c r="F88" s="18" t="s">
        <v>1319</v>
      </c>
      <c r="G88" s="20"/>
      <c r="H88" s="20"/>
    </row>
    <row r="89" spans="1:9">
      <c r="E89" s="240"/>
      <c r="F89" s="176" t="s">
        <v>583</v>
      </c>
      <c r="G89" s="178" t="s">
        <v>1320</v>
      </c>
      <c r="H89" s="183" t="s">
        <v>1321</v>
      </c>
    </row>
    <row r="90" spans="1:9">
      <c r="E90" s="240"/>
      <c r="F90" s="186"/>
      <c r="G90" s="187"/>
      <c r="H90" s="194"/>
    </row>
    <row r="91" spans="1:9">
      <c r="E91" s="240"/>
      <c r="F91" s="186"/>
      <c r="G91" s="187"/>
      <c r="H91" s="194"/>
    </row>
    <row r="92" spans="1:9">
      <c r="E92" s="240"/>
      <c r="F92" s="186"/>
      <c r="G92" s="187"/>
      <c r="H92" s="194"/>
    </row>
    <row r="93" spans="1:9">
      <c r="E93" s="240"/>
      <c r="F93" s="189"/>
      <c r="G93" s="190"/>
      <c r="H93" s="195"/>
    </row>
    <row r="94" spans="1:9">
      <c r="E94" s="240"/>
    </row>
    <row r="95" spans="1:9" ht="24" customHeight="1">
      <c r="A95" s="237" t="s">
        <v>1439</v>
      </c>
      <c r="B95" s="237" t="s">
        <v>1368</v>
      </c>
      <c r="C95" s="237" t="s">
        <v>1369</v>
      </c>
      <c r="D95" s="237" t="s">
        <v>1440</v>
      </c>
      <c r="E95" s="244" t="s">
        <v>1373</v>
      </c>
      <c r="F95" s="143" t="s">
        <v>1322</v>
      </c>
      <c r="G95" s="11"/>
      <c r="H95" s="11"/>
      <c r="I95" s="11"/>
    </row>
    <row r="96" spans="1:9">
      <c r="E96" s="240"/>
      <c r="F96" s="220" t="s">
        <v>1323</v>
      </c>
      <c r="G96" s="11"/>
      <c r="H96" s="11"/>
      <c r="I96" s="11"/>
    </row>
    <row r="97" spans="1:9">
      <c r="E97" s="240"/>
    </row>
    <row r="98" spans="1:9">
      <c r="E98" s="240"/>
      <c r="F98" s="18" t="s">
        <v>1324</v>
      </c>
      <c r="G98" s="20"/>
    </row>
    <row r="99" spans="1:9">
      <c r="A99" s="234" t="s">
        <v>1441</v>
      </c>
      <c r="B99" s="234" t="s">
        <v>1404</v>
      </c>
      <c r="C99" s="235" t="s">
        <v>1379</v>
      </c>
      <c r="D99" s="234" t="s">
        <v>1442</v>
      </c>
      <c r="E99" s="241" t="s">
        <v>1417</v>
      </c>
      <c r="F99" s="159" t="s">
        <v>1046</v>
      </c>
      <c r="G99" s="17" t="s">
        <v>1325</v>
      </c>
    </row>
    <row r="100" spans="1:9">
      <c r="A100" s="234" t="s">
        <v>1443</v>
      </c>
      <c r="B100" s="234" t="s">
        <v>1404</v>
      </c>
      <c r="C100" s="235" t="s">
        <v>1379</v>
      </c>
      <c r="D100" s="234" t="s">
        <v>1370</v>
      </c>
      <c r="E100" s="241" t="s">
        <v>1417</v>
      </c>
      <c r="F100" s="159" t="s">
        <v>5</v>
      </c>
      <c r="G100" s="55"/>
    </row>
    <row r="101" spans="1:9">
      <c r="A101" s="234" t="s">
        <v>1444</v>
      </c>
      <c r="B101" s="234" t="s">
        <v>1423</v>
      </c>
      <c r="C101" s="235" t="s">
        <v>1379</v>
      </c>
      <c r="D101" s="234" t="s">
        <v>1442</v>
      </c>
      <c r="E101" s="241" t="s">
        <v>1417</v>
      </c>
      <c r="F101" s="159" t="s">
        <v>1326</v>
      </c>
      <c r="G101" s="55"/>
    </row>
    <row r="102" spans="1:9">
      <c r="E102" s="240"/>
      <c r="F102" s="159" t="s">
        <v>618</v>
      </c>
      <c r="G102" s="55"/>
    </row>
    <row r="103" spans="1:9">
      <c r="A103" s="237" t="s">
        <v>1445</v>
      </c>
      <c r="B103" s="237" t="s">
        <v>1404</v>
      </c>
      <c r="C103" s="235" t="s">
        <v>1379</v>
      </c>
      <c r="D103" s="237" t="s">
        <v>1444</v>
      </c>
      <c r="E103" s="244" t="s">
        <v>1417</v>
      </c>
      <c r="F103" s="159" t="s">
        <v>1327</v>
      </c>
      <c r="G103" s="17" t="s">
        <v>1328</v>
      </c>
    </row>
    <row r="104" spans="1:9">
      <c r="E104" s="240"/>
    </row>
    <row r="105" spans="1:9" ht="24" customHeight="1">
      <c r="A105" s="232" t="s">
        <v>1446</v>
      </c>
      <c r="B105" s="232" t="s">
        <v>1375</v>
      </c>
      <c r="C105" s="232" t="s">
        <v>1369</v>
      </c>
      <c r="D105" s="232" t="s">
        <v>1370</v>
      </c>
      <c r="E105" s="239" t="s">
        <v>1447</v>
      </c>
      <c r="F105" s="13" t="s">
        <v>1329</v>
      </c>
      <c r="G105" s="15"/>
      <c r="H105" s="15"/>
      <c r="I105" s="15"/>
    </row>
    <row r="106" spans="1:9">
      <c r="E106" s="240"/>
    </row>
    <row r="107" spans="1:9">
      <c r="E107" s="240"/>
      <c r="F107" s="176" t="s">
        <v>771</v>
      </c>
      <c r="G107" s="178" t="s">
        <v>1330</v>
      </c>
      <c r="H107" s="183" t="s">
        <v>1331</v>
      </c>
    </row>
    <row r="108" spans="1:9">
      <c r="E108" s="240"/>
      <c r="F108" s="170" t="s">
        <v>1332</v>
      </c>
      <c r="G108" s="187" t="s">
        <v>1333</v>
      </c>
      <c r="H108" s="228" t="s">
        <v>1334</v>
      </c>
    </row>
    <row r="109" spans="1:9">
      <c r="E109" s="240"/>
      <c r="F109" s="170" t="s">
        <v>1141</v>
      </c>
      <c r="G109" s="187" t="s">
        <v>1335</v>
      </c>
      <c r="H109" s="228" t="s">
        <v>1336</v>
      </c>
    </row>
    <row r="110" spans="1:9">
      <c r="E110" s="240"/>
      <c r="F110" s="170" t="s">
        <v>1337</v>
      </c>
      <c r="G110" s="187" t="s">
        <v>1338</v>
      </c>
      <c r="H110" s="229" t="s">
        <v>1339</v>
      </c>
    </row>
    <row r="111" spans="1:9">
      <c r="E111" s="240"/>
      <c r="F111" s="170" t="s">
        <v>581</v>
      </c>
      <c r="G111" s="187" t="s">
        <v>1340</v>
      </c>
      <c r="H111" s="229" t="s">
        <v>1341</v>
      </c>
    </row>
    <row r="112" spans="1:9">
      <c r="E112" s="240"/>
      <c r="F112" s="170" t="s">
        <v>1342</v>
      </c>
      <c r="G112" s="187" t="s">
        <v>1343</v>
      </c>
      <c r="H112" s="229" t="s">
        <v>1344</v>
      </c>
    </row>
    <row r="113" spans="1:9">
      <c r="E113" s="240"/>
      <c r="F113" s="170" t="s">
        <v>1345</v>
      </c>
      <c r="G113" s="187" t="s">
        <v>1346</v>
      </c>
      <c r="H113" s="229" t="s">
        <v>1347</v>
      </c>
    </row>
    <row r="114" spans="1:9">
      <c r="E114" s="240"/>
      <c r="F114" s="173" t="s">
        <v>1348</v>
      </c>
      <c r="G114" s="190" t="s">
        <v>1349</v>
      </c>
      <c r="H114" s="230" t="s">
        <v>1350</v>
      </c>
    </row>
    <row r="115" spans="1:9">
      <c r="E115" s="240"/>
    </row>
    <row r="116" spans="1:9" ht="24" customHeight="1">
      <c r="E116" s="240"/>
      <c r="F116" s="13" t="s">
        <v>1351</v>
      </c>
      <c r="G116" s="15"/>
      <c r="H116" s="15"/>
      <c r="I116" s="15"/>
    </row>
    <row r="117" spans="1:9">
      <c r="E117" s="240"/>
      <c r="F117" s="222" t="s">
        <v>1352</v>
      </c>
      <c r="G117" s="11"/>
      <c r="H117" s="11"/>
      <c r="I117" s="11"/>
    </row>
    <row r="118" spans="1:9">
      <c r="E118" s="240"/>
      <c r="F118" s="222" t="s">
        <v>1353</v>
      </c>
      <c r="G118" s="11"/>
      <c r="H118" s="11"/>
      <c r="I118" s="11"/>
    </row>
    <row r="119" spans="1:9">
      <c r="E119" s="240"/>
      <c r="F119" s="223" t="s">
        <v>1354</v>
      </c>
      <c r="G119" s="11"/>
      <c r="H119" s="11"/>
      <c r="I119" s="11"/>
    </row>
    <row r="120" spans="1:9">
      <c r="E120" s="240"/>
    </row>
    <row r="121" spans="1:9" ht="24" customHeight="1">
      <c r="A121" s="232" t="s">
        <v>1448</v>
      </c>
      <c r="B121" s="232" t="s">
        <v>1375</v>
      </c>
      <c r="C121" s="232" t="s">
        <v>1369</v>
      </c>
      <c r="D121" s="232" t="s">
        <v>1370</v>
      </c>
      <c r="E121" s="239" t="s">
        <v>1449</v>
      </c>
      <c r="F121" s="139" t="s">
        <v>114</v>
      </c>
      <c r="G121" s="15"/>
      <c r="H121" s="15"/>
    </row>
    <row r="122" spans="1:9">
      <c r="E122" s="240"/>
      <c r="F122" s="23" t="s">
        <v>1355</v>
      </c>
      <c r="G122" s="23" t="s">
        <v>1356</v>
      </c>
    </row>
    <row r="123" spans="1:9">
      <c r="E123" s="240"/>
      <c r="F123" s="23" t="s">
        <v>1357</v>
      </c>
      <c r="G123" s="141" t="s">
        <v>1358</v>
      </c>
    </row>
    <row r="124" spans="1:9">
      <c r="E124" s="240"/>
      <c r="F124" s="23" t="s">
        <v>1359</v>
      </c>
      <c r="G124" s="23" t="s">
        <v>1360</v>
      </c>
    </row>
    <row r="125" spans="1:9">
      <c r="E125" s="240"/>
      <c r="F125" s="23" t="s">
        <v>1252</v>
      </c>
      <c r="G125" s="23" t="s">
        <v>1361</v>
      </c>
    </row>
  </sheetData>
  <dataValidations count="7">
    <dataValidation type="list" allowBlank="1" showInputMessage="1" showErrorMessage="1" sqref="H9 H10 H11 H12 H13" xr:uid="{58CCEE84-C1F8-4251-A10C-CCADA08106FA}">
      <formula1>"SURVIVES,DIES,WEAKENED,UNTESTED"</formula1>
    </dataValidation>
    <dataValidation type="list" allowBlank="1" showInputMessage="1" showErrorMessage="1" sqref="H33 H34 H35 H36 H37 H90 H91 H92 H93" xr:uid="{162B1BA5-3D9F-4A38-816B-BF192B333A14}">
      <formula1>"Yes,No,Partially,Untested"</formula1>
    </dataValidation>
    <dataValidation type="list" allowBlank="1" showInputMessage="1" showErrorMessage="1" sqref="H59 H60 H61 H62 H63" xr:uid="{C27583A4-BE6A-4FCD-9243-0CA7DDD18CCB}">
      <formula1>"empirical,experimental,observational,mathematical,logical,scriptural,historical,inferential"</formula1>
    </dataValidation>
    <dataValidation type="list" allowBlank="1" showInputMessage="1" showErrorMessage="1" sqref="G76" xr:uid="{9DF83C8E-6CD5-4C8A-9BF1-E3F4AA0A3BC0}">
      <formula1>"proven,derived,well_supported,tentative"</formula1>
    </dataValidation>
    <dataValidation type="list" allowBlank="1" showInputMessage="1" showErrorMessage="1" sqref="G77" xr:uid="{0696C0BB-6C24-47C5-9AED-CB4A87F0DCA5}">
      <formula1>"universal,domain_specific,local,specialized"</formula1>
    </dataValidation>
    <dataValidation type="list" allowBlank="1" showInputMessage="1" showErrorMessage="1" sqref="G101" xr:uid="{95D9DADD-DF91-4C5F-AEC8-E0CF86D807C2}">
      <formula1>"axiom,law,theorem,principle,mechanism,force"</formula1>
    </dataValidation>
    <dataValidation type="list" allowBlank="1" showInputMessage="1" showErrorMessage="1" sqref="G102" xr:uid="{468BDF21-9FDE-4701-9BDC-94C864073F7E}">
      <formula1>"primitive,derived,boundary"</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C511695A-6F59-4D00-8B75-D89F188236E7}">
          <x14:formula1>
            <xm:f>DROPDOWNS!$BI$2:$BI$5</xm:f>
          </x14:formula1>
          <xm:sqref>I17 I18 I19 I20 I21</xm:sqref>
        </x14:dataValidation>
        <x14:dataValidation type="list" allowBlank="1" showInputMessage="1" showErrorMessage="1" xr:uid="{472C4A36-37E9-4C0F-AF73-A169718C55A1}">
          <x14:formula1>
            <xm:f>DROPDOWNS!$BB$2:$BB$4</xm:f>
          </x14:formula1>
          <xm:sqref>I59 I60 I61 I62 I63</xm:sqref>
        </x14:dataValidation>
        <x14:dataValidation type="list" allowBlank="1" showInputMessage="1" showErrorMessage="1" xr:uid="{83A05BB6-676A-47EC-B853-2BD836B02C5B}">
          <x14:formula1>
            <xm:f>DROPDOWNS!$AI$2:$AI$6</xm:f>
          </x14:formula1>
          <xm:sqref>G66</xm:sqref>
        </x14:dataValidation>
        <x14:dataValidation type="list" allowBlank="1" showInputMessage="1" showErrorMessage="1" xr:uid="{6B070D0A-419C-45A1-BB28-29D4E48F4CA9}">
          <x14:formula1>
            <xm:f>DROPDOWNS!$AV$2:$AV$11</xm:f>
          </x14:formula1>
          <xm:sqref>G74</xm:sqref>
        </x14:dataValidation>
        <x14:dataValidation type="list" allowBlank="1" showInputMessage="1" showErrorMessage="1" xr:uid="{466B0460-5E10-40D2-87A2-E8E68A287615}">
          <x14:formula1>
            <xm:f>DROPDOWNS!$V$2:$V$6</xm:f>
          </x14:formula1>
          <xm:sqref>G75</xm:sqref>
        </x14:dataValidation>
        <x14:dataValidation type="list" allowBlank="1" showInputMessage="1" showErrorMessage="1" xr:uid="{B16625CB-D697-4214-B456-E3F83607C8C7}">
          <x14:formula1>
            <xm:f>DROPDOWNS!$AS$2:$AS$9</xm:f>
          </x14:formula1>
          <xm:sqref>G83</xm:sqref>
        </x14:dataValidation>
        <x14:dataValidation type="list" allowBlank="1" showInputMessage="1" showErrorMessage="1" xr:uid="{A44A8A7C-FE74-4DA2-AC16-B8C748EB09D7}">
          <x14:formula1>
            <xm:f>DROPDOWNS!$AD$2:$AD$6</xm:f>
          </x14:formula1>
          <xm:sqref>G86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6869-C1E6-48DC-8643-A3046FE26E48}">
  <dimension ref="A1:D125"/>
  <sheetViews>
    <sheetView workbookViewId="0">
      <pane ySplit="2" topLeftCell="A83" activePane="bottomLeft" state="frozen"/>
      <selection pane="bottomLeft"/>
    </sheetView>
  </sheetViews>
  <sheetFormatPr defaultRowHeight="14.4"/>
  <cols>
    <col min="1" max="1" width="37" customWidth="1"/>
    <col min="2" max="2" width="40.77734375" customWidth="1"/>
    <col min="3" max="3" width="37" customWidth="1"/>
    <col min="4" max="4" width="29.6640625" customWidth="1"/>
  </cols>
  <sheetData>
    <row r="1" spans="1:4" ht="24" customHeight="1">
      <c r="A1" s="10" t="s">
        <v>1256</v>
      </c>
      <c r="B1" s="11"/>
      <c r="C1" s="11"/>
      <c r="D1" s="11"/>
    </row>
    <row r="2" spans="1:4">
      <c r="A2" s="12" t="s">
        <v>1257</v>
      </c>
      <c r="B2" s="11"/>
      <c r="C2" s="11"/>
      <c r="D2" s="11"/>
    </row>
    <row r="4" spans="1:4" ht="24" customHeight="1">
      <c r="A4" s="213" t="s">
        <v>1258</v>
      </c>
      <c r="B4" s="214"/>
      <c r="C4" s="214"/>
      <c r="D4" s="214"/>
    </row>
    <row r="5" spans="1:4">
      <c r="A5" s="215" t="s">
        <v>1259</v>
      </c>
      <c r="B5" s="216"/>
      <c r="C5" s="216"/>
      <c r="D5" s="216"/>
    </row>
    <row r="7" spans="1:4">
      <c r="A7" s="167" t="s">
        <v>1260</v>
      </c>
      <c r="B7" s="20"/>
      <c r="C7" s="20"/>
    </row>
    <row r="8" spans="1:4">
      <c r="A8" s="202" t="s">
        <v>1261</v>
      </c>
      <c r="B8" s="203" t="s">
        <v>1262</v>
      </c>
      <c r="C8" s="208" t="s">
        <v>1263</v>
      </c>
    </row>
    <row r="9" spans="1:4">
      <c r="A9" s="224" t="s">
        <v>1264</v>
      </c>
      <c r="B9" s="197"/>
      <c r="C9" s="209"/>
    </row>
    <row r="10" spans="1:4">
      <c r="A10" s="224" t="s">
        <v>1265</v>
      </c>
      <c r="B10" s="197"/>
      <c r="C10" s="209"/>
    </row>
    <row r="11" spans="1:4">
      <c r="A11" s="224" t="s">
        <v>1266</v>
      </c>
      <c r="B11" s="197"/>
      <c r="C11" s="209"/>
    </row>
    <row r="12" spans="1:4">
      <c r="A12" s="224" t="s">
        <v>1267</v>
      </c>
      <c r="B12" s="197"/>
      <c r="C12" s="209"/>
    </row>
    <row r="13" spans="1:4">
      <c r="A13" s="225" t="s">
        <v>1268</v>
      </c>
      <c r="B13" s="200"/>
      <c r="C13" s="210"/>
    </row>
    <row r="15" spans="1:4">
      <c r="A15" s="18" t="s">
        <v>1269</v>
      </c>
      <c r="B15" s="20"/>
      <c r="C15" s="20"/>
      <c r="D15" s="20"/>
    </row>
    <row r="16" spans="1:4">
      <c r="A16" s="176" t="s">
        <v>84</v>
      </c>
      <c r="B16" s="178" t="s">
        <v>1270</v>
      </c>
      <c r="C16" s="178" t="s">
        <v>1271</v>
      </c>
      <c r="D16" s="183" t="s">
        <v>18</v>
      </c>
    </row>
    <row r="17" spans="1:4">
      <c r="A17" s="196">
        <v>1</v>
      </c>
      <c r="B17" s="197"/>
      <c r="C17" s="197"/>
      <c r="D17" s="209"/>
    </row>
    <row r="18" spans="1:4">
      <c r="A18" s="196">
        <v>2</v>
      </c>
      <c r="B18" s="197"/>
      <c r="C18" s="197"/>
      <c r="D18" s="209"/>
    </row>
    <row r="19" spans="1:4">
      <c r="A19" s="196">
        <v>3</v>
      </c>
      <c r="B19" s="197"/>
      <c r="C19" s="197"/>
      <c r="D19" s="209"/>
    </row>
    <row r="20" spans="1:4">
      <c r="A20" s="196">
        <v>4</v>
      </c>
      <c r="B20" s="197"/>
      <c r="C20" s="197"/>
      <c r="D20" s="209"/>
    </row>
    <row r="21" spans="1:4">
      <c r="A21" s="199">
        <v>5</v>
      </c>
      <c r="B21" s="200"/>
      <c r="C21" s="200"/>
      <c r="D21" s="210"/>
    </row>
    <row r="23" spans="1:4">
      <c r="A23" s="18" t="s">
        <v>1272</v>
      </c>
      <c r="B23" s="20"/>
    </row>
    <row r="24" spans="1:4">
      <c r="A24" s="159" t="s">
        <v>1273</v>
      </c>
      <c r="B24" s="71"/>
    </row>
    <row r="25" spans="1:4">
      <c r="A25" s="137" t="s">
        <v>1274</v>
      </c>
      <c r="B25" s="217"/>
    </row>
    <row r="26" spans="1:4">
      <c r="A26" s="218" t="s">
        <v>1275</v>
      </c>
      <c r="B26" s="219"/>
    </row>
    <row r="28" spans="1:4" ht="24" customHeight="1">
      <c r="A28" s="13" t="s">
        <v>1276</v>
      </c>
      <c r="B28" s="15"/>
      <c r="C28" s="15"/>
      <c r="D28" s="15"/>
    </row>
    <row r="29" spans="1:4">
      <c r="A29" s="220" t="s">
        <v>1277</v>
      </c>
      <c r="B29" s="11"/>
      <c r="C29" s="11"/>
      <c r="D29" s="11"/>
    </row>
    <row r="31" spans="1:4">
      <c r="A31" s="18" t="s">
        <v>1278</v>
      </c>
      <c r="B31" s="20"/>
      <c r="C31" s="20"/>
    </row>
    <row r="32" spans="1:4">
      <c r="A32" s="176" t="s">
        <v>84</v>
      </c>
      <c r="B32" s="178" t="s">
        <v>1279</v>
      </c>
      <c r="C32" s="183" t="s">
        <v>1280</v>
      </c>
    </row>
    <row r="33" spans="1:4">
      <c r="A33" s="226">
        <v>1</v>
      </c>
      <c r="B33" s="187"/>
      <c r="C33" s="194"/>
    </row>
    <row r="34" spans="1:4">
      <c r="A34" s="226">
        <v>2</v>
      </c>
      <c r="B34" s="187"/>
      <c r="C34" s="194"/>
    </row>
    <row r="35" spans="1:4">
      <c r="A35" s="226">
        <v>3</v>
      </c>
      <c r="B35" s="187"/>
      <c r="C35" s="194"/>
    </row>
    <row r="36" spans="1:4">
      <c r="A36" s="226">
        <v>4</v>
      </c>
      <c r="B36" s="187"/>
      <c r="C36" s="194"/>
    </row>
    <row r="37" spans="1:4">
      <c r="A37" s="227">
        <v>5</v>
      </c>
      <c r="B37" s="190"/>
      <c r="C37" s="195"/>
    </row>
    <row r="39" spans="1:4">
      <c r="A39" s="159" t="s">
        <v>1281</v>
      </c>
      <c r="B39" s="17" t="s">
        <v>1282</v>
      </c>
    </row>
    <row r="40" spans="1:4">
      <c r="A40" s="159" t="s">
        <v>1283</v>
      </c>
      <c r="B40" s="17" t="s">
        <v>1284</v>
      </c>
    </row>
    <row r="41" spans="1:4">
      <c r="A41" s="159" t="s">
        <v>1285</v>
      </c>
      <c r="B41" s="17" t="s">
        <v>1286</v>
      </c>
    </row>
    <row r="42" spans="1:4">
      <c r="A42" s="159" t="s">
        <v>1287</v>
      </c>
      <c r="B42" s="17" t="s">
        <v>1288</v>
      </c>
    </row>
    <row r="44" spans="1:4" ht="24" customHeight="1">
      <c r="A44" s="13" t="s">
        <v>1289</v>
      </c>
      <c r="B44" s="15"/>
      <c r="C44" s="15"/>
      <c r="D44" s="15"/>
    </row>
    <row r="45" spans="1:4">
      <c r="A45" s="221" t="s">
        <v>1290</v>
      </c>
      <c r="B45" s="11"/>
      <c r="C45" s="11"/>
      <c r="D45" s="11"/>
    </row>
    <row r="47" spans="1:4">
      <c r="A47" s="18" t="s">
        <v>1291</v>
      </c>
      <c r="B47" s="20"/>
    </row>
    <row r="48" spans="1:4">
      <c r="A48" s="159" t="s">
        <v>1164</v>
      </c>
      <c r="B48" s="17" t="s">
        <v>1292</v>
      </c>
    </row>
    <row r="49" spans="1:4">
      <c r="A49" s="159" t="s">
        <v>1166</v>
      </c>
      <c r="B49" s="17" t="s">
        <v>1293</v>
      </c>
    </row>
    <row r="50" spans="1:4">
      <c r="A50" s="159" t="s">
        <v>1294</v>
      </c>
      <c r="B50" s="17" t="s">
        <v>1295</v>
      </c>
    </row>
    <row r="51" spans="1:4">
      <c r="A51" s="159" t="s">
        <v>1171</v>
      </c>
      <c r="B51" s="17" t="s">
        <v>1296</v>
      </c>
    </row>
    <row r="52" spans="1:4">
      <c r="A52" s="137" t="s">
        <v>1297</v>
      </c>
      <c r="B52" s="138" t="s">
        <v>1298</v>
      </c>
    </row>
    <row r="54" spans="1:4" ht="24" customHeight="1">
      <c r="A54" s="13" t="s">
        <v>1299</v>
      </c>
      <c r="B54" s="15"/>
      <c r="C54" s="15"/>
      <c r="D54" s="15"/>
    </row>
    <row r="55" spans="1:4">
      <c r="A55" s="220" t="s">
        <v>1300</v>
      </c>
      <c r="B55" s="11"/>
      <c r="C55" s="11"/>
      <c r="D55" s="11"/>
    </row>
    <row r="57" spans="1:4">
      <c r="A57" s="18" t="s">
        <v>1301</v>
      </c>
      <c r="B57" s="20"/>
      <c r="C57" s="20"/>
      <c r="D57" s="20"/>
    </row>
    <row r="58" spans="1:4">
      <c r="A58" s="176" t="s">
        <v>84</v>
      </c>
      <c r="B58" s="178" t="s">
        <v>587</v>
      </c>
      <c r="C58" s="178" t="s">
        <v>1066</v>
      </c>
      <c r="D58" s="183" t="s">
        <v>1302</v>
      </c>
    </row>
    <row r="59" spans="1:4">
      <c r="A59" s="226">
        <v>1</v>
      </c>
      <c r="B59" s="187"/>
      <c r="C59" s="187"/>
      <c r="D59" s="194"/>
    </row>
    <row r="60" spans="1:4">
      <c r="A60" s="226">
        <v>2</v>
      </c>
      <c r="B60" s="187"/>
      <c r="C60" s="187"/>
      <c r="D60" s="194"/>
    </row>
    <row r="61" spans="1:4">
      <c r="A61" s="226">
        <v>3</v>
      </c>
      <c r="B61" s="187"/>
      <c r="C61" s="187"/>
      <c r="D61" s="194"/>
    </row>
    <row r="62" spans="1:4">
      <c r="A62" s="226">
        <v>4</v>
      </c>
      <c r="B62" s="187"/>
      <c r="C62" s="187"/>
      <c r="D62" s="194"/>
    </row>
    <row r="63" spans="1:4">
      <c r="A63" s="227">
        <v>5</v>
      </c>
      <c r="B63" s="190"/>
      <c r="C63" s="190"/>
      <c r="D63" s="195"/>
    </row>
    <row r="65" spans="1:4">
      <c r="A65" s="18" t="s">
        <v>1303</v>
      </c>
      <c r="B65" s="20"/>
    </row>
    <row r="66" spans="1:4">
      <c r="A66" s="159" t="s">
        <v>1124</v>
      </c>
      <c r="B66" s="55"/>
    </row>
    <row r="67" spans="1:4">
      <c r="A67" s="159" t="s">
        <v>1304</v>
      </c>
      <c r="B67" s="17" t="s">
        <v>1305</v>
      </c>
    </row>
    <row r="69" spans="1:4" ht="24" customHeight="1">
      <c r="A69" s="13" t="s">
        <v>1306</v>
      </c>
      <c r="B69" s="15"/>
      <c r="C69" s="15"/>
      <c r="D69" s="15"/>
    </row>
    <row r="70" spans="1:4">
      <c r="A70" s="220" t="s">
        <v>1307</v>
      </c>
      <c r="B70" s="11"/>
      <c r="C70" s="11"/>
      <c r="D70" s="11"/>
    </row>
    <row r="72" spans="1:4">
      <c r="A72" s="18" t="s">
        <v>1308</v>
      </c>
      <c r="B72" s="20"/>
    </row>
    <row r="73" spans="1:4">
      <c r="A73" s="159" t="s">
        <v>1309</v>
      </c>
      <c r="B73" s="17" t="s">
        <v>1310</v>
      </c>
    </row>
    <row r="74" spans="1:4">
      <c r="A74" s="159" t="s">
        <v>959</v>
      </c>
      <c r="B74" s="55"/>
    </row>
    <row r="75" spans="1:4">
      <c r="A75" s="159" t="s">
        <v>619</v>
      </c>
      <c r="B75" s="55"/>
    </row>
    <row r="76" spans="1:4">
      <c r="A76" s="159" t="s">
        <v>1106</v>
      </c>
      <c r="B76" s="55"/>
    </row>
    <row r="77" spans="1:4">
      <c r="A77" s="159" t="s">
        <v>607</v>
      </c>
      <c r="B77" s="55"/>
    </row>
    <row r="79" spans="1:4" ht="24" customHeight="1">
      <c r="A79" s="13" t="s">
        <v>1311</v>
      </c>
      <c r="B79" s="15"/>
      <c r="C79" s="15"/>
      <c r="D79" s="15"/>
    </row>
    <row r="80" spans="1:4">
      <c r="A80" s="221" t="s">
        <v>1312</v>
      </c>
      <c r="B80" s="11"/>
      <c r="C80" s="11"/>
      <c r="D80" s="11"/>
    </row>
    <row r="82" spans="1:4">
      <c r="A82" s="18" t="s">
        <v>1313</v>
      </c>
      <c r="B82" s="20"/>
      <c r="C82" s="20"/>
    </row>
    <row r="83" spans="1:4">
      <c r="A83" s="159" t="s">
        <v>1314</v>
      </c>
      <c r="B83" s="55"/>
    </row>
    <row r="84" spans="1:4">
      <c r="A84" s="159" t="s">
        <v>1315</v>
      </c>
      <c r="B84" s="17" t="s">
        <v>1316</v>
      </c>
    </row>
    <row r="85" spans="1:4">
      <c r="A85" s="159" t="s">
        <v>1317</v>
      </c>
      <c r="B85" s="17" t="s">
        <v>1318</v>
      </c>
    </row>
    <row r="86" spans="1:4">
      <c r="A86" s="159" t="s">
        <v>1096</v>
      </c>
      <c r="B86" s="55"/>
    </row>
    <row r="88" spans="1:4">
      <c r="A88" s="18" t="s">
        <v>1319</v>
      </c>
      <c r="B88" s="20"/>
      <c r="C88" s="20"/>
    </row>
    <row r="89" spans="1:4">
      <c r="A89" s="176" t="s">
        <v>583</v>
      </c>
      <c r="B89" s="178" t="s">
        <v>1320</v>
      </c>
      <c r="C89" s="183" t="s">
        <v>1321</v>
      </c>
    </row>
    <row r="90" spans="1:4">
      <c r="A90" s="186"/>
      <c r="B90" s="187"/>
      <c r="C90" s="194"/>
    </row>
    <row r="91" spans="1:4">
      <c r="A91" s="186"/>
      <c r="B91" s="187"/>
      <c r="C91" s="194"/>
    </row>
    <row r="92" spans="1:4">
      <c r="A92" s="186"/>
      <c r="B92" s="187"/>
      <c r="C92" s="194"/>
    </row>
    <row r="93" spans="1:4">
      <c r="A93" s="189"/>
      <c r="B93" s="190"/>
      <c r="C93" s="195"/>
    </row>
    <row r="95" spans="1:4" ht="24" customHeight="1">
      <c r="A95" s="143" t="s">
        <v>1322</v>
      </c>
      <c r="B95" s="11"/>
      <c r="C95" s="11"/>
      <c r="D95" s="11"/>
    </row>
    <row r="96" spans="1:4">
      <c r="A96" s="220" t="s">
        <v>1323</v>
      </c>
      <c r="B96" s="11"/>
      <c r="C96" s="11"/>
      <c r="D96" s="11"/>
    </row>
    <row r="98" spans="1:4">
      <c r="A98" s="18" t="s">
        <v>1324</v>
      </c>
      <c r="B98" s="20"/>
    </row>
    <row r="99" spans="1:4">
      <c r="A99" s="159" t="s">
        <v>1046</v>
      </c>
      <c r="B99" s="17" t="s">
        <v>1325</v>
      </c>
    </row>
    <row r="100" spans="1:4">
      <c r="A100" s="159" t="s">
        <v>5</v>
      </c>
      <c r="B100" s="55"/>
    </row>
    <row r="101" spans="1:4">
      <c r="A101" s="159" t="s">
        <v>1326</v>
      </c>
      <c r="B101" s="55"/>
    </row>
    <row r="102" spans="1:4">
      <c r="A102" s="159" t="s">
        <v>618</v>
      </c>
      <c r="B102" s="55"/>
    </row>
    <row r="103" spans="1:4">
      <c r="A103" s="159" t="s">
        <v>1327</v>
      </c>
      <c r="B103" s="17" t="s">
        <v>1328</v>
      </c>
    </row>
    <row r="105" spans="1:4" ht="24" customHeight="1">
      <c r="A105" s="13" t="s">
        <v>1329</v>
      </c>
      <c r="B105" s="15"/>
      <c r="C105" s="15"/>
      <c r="D105" s="15"/>
    </row>
    <row r="107" spans="1:4">
      <c r="A107" s="176" t="s">
        <v>771</v>
      </c>
      <c r="B107" s="178" t="s">
        <v>1330</v>
      </c>
      <c r="C107" s="183" t="s">
        <v>1331</v>
      </c>
    </row>
    <row r="108" spans="1:4">
      <c r="A108" s="170" t="s">
        <v>1332</v>
      </c>
      <c r="B108" s="187" t="s">
        <v>1333</v>
      </c>
      <c r="C108" s="228" t="s">
        <v>1334</v>
      </c>
    </row>
    <row r="109" spans="1:4">
      <c r="A109" s="170" t="s">
        <v>1141</v>
      </c>
      <c r="B109" s="187" t="s">
        <v>1335</v>
      </c>
      <c r="C109" s="228" t="s">
        <v>1336</v>
      </c>
    </row>
    <row r="110" spans="1:4">
      <c r="A110" s="170" t="s">
        <v>1337</v>
      </c>
      <c r="B110" s="187" t="s">
        <v>1338</v>
      </c>
      <c r="C110" s="229" t="s">
        <v>1339</v>
      </c>
    </row>
    <row r="111" spans="1:4">
      <c r="A111" s="170" t="s">
        <v>581</v>
      </c>
      <c r="B111" s="187" t="s">
        <v>1340</v>
      </c>
      <c r="C111" s="229" t="s">
        <v>1341</v>
      </c>
    </row>
    <row r="112" spans="1:4">
      <c r="A112" s="170" t="s">
        <v>1342</v>
      </c>
      <c r="B112" s="187" t="s">
        <v>1343</v>
      </c>
      <c r="C112" s="229" t="s">
        <v>1344</v>
      </c>
    </row>
    <row r="113" spans="1:4">
      <c r="A113" s="170" t="s">
        <v>1345</v>
      </c>
      <c r="B113" s="187" t="s">
        <v>1346</v>
      </c>
      <c r="C113" s="229" t="s">
        <v>1347</v>
      </c>
    </row>
    <row r="114" spans="1:4">
      <c r="A114" s="173" t="s">
        <v>1348</v>
      </c>
      <c r="B114" s="190" t="s">
        <v>1349</v>
      </c>
      <c r="C114" s="230" t="s">
        <v>1350</v>
      </c>
    </row>
    <row r="116" spans="1:4" ht="24" customHeight="1">
      <c r="A116" s="13" t="s">
        <v>1351</v>
      </c>
      <c r="B116" s="15"/>
      <c r="C116" s="15"/>
      <c r="D116" s="15"/>
    </row>
    <row r="117" spans="1:4">
      <c r="A117" s="222" t="s">
        <v>1352</v>
      </c>
      <c r="B117" s="11"/>
      <c r="C117" s="11"/>
      <c r="D117" s="11"/>
    </row>
    <row r="118" spans="1:4">
      <c r="A118" s="222" t="s">
        <v>1353</v>
      </c>
      <c r="B118" s="11"/>
      <c r="C118" s="11"/>
      <c r="D118" s="11"/>
    </row>
    <row r="119" spans="1:4">
      <c r="A119" s="223" t="s">
        <v>1354</v>
      </c>
      <c r="B119" s="11"/>
      <c r="C119" s="11"/>
      <c r="D119" s="11"/>
    </row>
    <row r="121" spans="1:4" ht="24" customHeight="1">
      <c r="A121" s="139" t="s">
        <v>114</v>
      </c>
      <c r="B121" s="15"/>
      <c r="C121" s="15"/>
    </row>
    <row r="122" spans="1:4">
      <c r="A122" s="23" t="s">
        <v>1355</v>
      </c>
      <c r="B122" s="23" t="s">
        <v>1356</v>
      </c>
    </row>
    <row r="123" spans="1:4">
      <c r="A123" s="23" t="s">
        <v>1357</v>
      </c>
      <c r="B123" s="141" t="s">
        <v>1358</v>
      </c>
    </row>
    <row r="124" spans="1:4">
      <c r="A124" s="23" t="s">
        <v>1359</v>
      </c>
      <c r="B124" s="23" t="s">
        <v>1360</v>
      </c>
    </row>
    <row r="125" spans="1:4">
      <c r="A125" s="23" t="s">
        <v>1252</v>
      </c>
      <c r="B125" s="23" t="s">
        <v>1361</v>
      </c>
    </row>
  </sheetData>
  <dataValidations count="7">
    <dataValidation type="list" allowBlank="1" showInputMessage="1" showErrorMessage="1" sqref="B102" xr:uid="{7890F6C2-10DE-4A9A-ABEB-8AF6DEAE8CE8}">
      <formula1>"primitive,derived,boundary"</formula1>
    </dataValidation>
    <dataValidation type="list" allowBlank="1" showInputMessage="1" showErrorMessage="1" sqref="B101" xr:uid="{953ABC10-2504-4717-A506-349E04A38C53}">
      <formula1>"axiom,law,theorem,principle,mechanism,force"</formula1>
    </dataValidation>
    <dataValidation type="list" allowBlank="1" showInputMessage="1" showErrorMessage="1" sqref="B77" xr:uid="{7D6C8860-BCA2-44A5-A710-F3372CD6BD14}">
      <formula1>"universal,domain_specific,local,specialized"</formula1>
    </dataValidation>
    <dataValidation type="list" allowBlank="1" showInputMessage="1" showErrorMessage="1" sqref="B76" xr:uid="{E776658C-DBC6-4B88-B942-0196FEBCD5E1}">
      <formula1>"proven,derived,well_supported,tentative"</formula1>
    </dataValidation>
    <dataValidation type="list" allowBlank="1" showInputMessage="1" showErrorMessage="1" sqref="C59:C63" xr:uid="{18156378-4672-438F-B029-53CE6987E999}">
      <formula1>"empirical,experimental,observational,mathematical,logical,scriptural,historical,inferential"</formula1>
    </dataValidation>
    <dataValidation type="list" allowBlank="1" showInputMessage="1" showErrorMessage="1" sqref="C33:C37 C90:C93" xr:uid="{529103B4-A1CB-41C5-99C9-528330489611}">
      <formula1>"Yes,No,Partially,Untested"</formula1>
    </dataValidation>
    <dataValidation type="list" allowBlank="1" showInputMessage="1" showErrorMessage="1" sqref="C9:C13" xr:uid="{EF3128E7-AAA8-4C67-A712-299D200FE474}">
      <formula1>"SURVIVES,DIES,WEAKENED,UNTESTED"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2B606758-975B-4FBF-85DE-25FFF603E5DD}">
          <x14:formula1>
            <xm:f>DROPDOWNS!$AD$2:$AD$6</xm:f>
          </x14:formula1>
          <xm:sqref>B86</xm:sqref>
        </x14:dataValidation>
        <x14:dataValidation type="list" allowBlank="1" showInputMessage="1" showErrorMessage="1" xr:uid="{2984E25B-0875-4941-A191-353E5C592D95}">
          <x14:formula1>
            <xm:f>DROPDOWNS!$AS$2:$AS$9</xm:f>
          </x14:formula1>
          <xm:sqref>B83</xm:sqref>
        </x14:dataValidation>
        <x14:dataValidation type="list" allowBlank="1" showInputMessage="1" showErrorMessage="1" xr:uid="{8592099F-1F45-4671-BE0E-DC669806F6D8}">
          <x14:formula1>
            <xm:f>DROPDOWNS!$V$2:$V$6</xm:f>
          </x14:formula1>
          <xm:sqref>B75</xm:sqref>
        </x14:dataValidation>
        <x14:dataValidation type="list" allowBlank="1" showInputMessage="1" showErrorMessage="1" xr:uid="{DAE0E663-C45C-481B-ABE8-7C2A9CCAE198}">
          <x14:formula1>
            <xm:f>DROPDOWNS!$AV$2:$AV$11</xm:f>
          </x14:formula1>
          <xm:sqref>B74</xm:sqref>
        </x14:dataValidation>
        <x14:dataValidation type="list" allowBlank="1" showInputMessage="1" showErrorMessage="1" xr:uid="{526C82DB-338A-4B9A-8D8D-1FFA32E47B69}">
          <x14:formula1>
            <xm:f>DROPDOWNS!$AI$2:$AI$6</xm:f>
          </x14:formula1>
          <xm:sqref>B66</xm:sqref>
        </x14:dataValidation>
        <x14:dataValidation type="list" allowBlank="1" showInputMessage="1" showErrorMessage="1" xr:uid="{87F52F94-78EC-480C-B656-D98D0C4F1B08}">
          <x14:formula1>
            <xm:f>DROPDOWNS!$BB$2:$BB$4</xm:f>
          </x14:formula1>
          <xm:sqref>D59:D63</xm:sqref>
        </x14:dataValidation>
        <x14:dataValidation type="list" allowBlank="1" showInputMessage="1" showErrorMessage="1" xr:uid="{CD1B932E-0075-4412-B3FF-FEC269B45114}">
          <x14:formula1>
            <xm:f>DROPDOWNS!$BI$2:$BI$5</xm:f>
          </x14:formula1>
          <xm:sqref>D17:D21</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AEF9-2451-475E-A2E7-4F066EE66B5E}">
  <dimension ref="A1:E129"/>
  <sheetViews>
    <sheetView workbookViewId="0">
      <pane ySplit="3" topLeftCell="A4" activePane="bottomLeft" state="frozen"/>
      <selection pane="bottomLeft" sqref="A1:E1"/>
    </sheetView>
  </sheetViews>
  <sheetFormatPr defaultRowHeight="14.4"/>
  <cols>
    <col min="1" max="1" width="37" customWidth="1"/>
    <col min="2" max="2" width="51.88671875" customWidth="1"/>
    <col min="3" max="3" width="29.6640625" customWidth="1"/>
    <col min="4" max="4" width="25.88671875" customWidth="1"/>
    <col min="5" max="5" width="22.21875" customWidth="1"/>
  </cols>
  <sheetData>
    <row r="1" spans="1:5" ht="22.8">
      <c r="A1" s="720" t="s">
        <v>1450</v>
      </c>
      <c r="B1" s="720"/>
      <c r="C1" s="720"/>
      <c r="D1" s="720"/>
      <c r="E1" s="720"/>
    </row>
    <row r="2" spans="1:5">
      <c r="A2" s="733" t="s">
        <v>1451</v>
      </c>
      <c r="B2" s="733"/>
      <c r="C2" s="733"/>
      <c r="D2" s="733"/>
      <c r="E2" s="733"/>
    </row>
    <row r="3" spans="1:5">
      <c r="A3" s="721" t="s">
        <v>1452</v>
      </c>
      <c r="B3" s="721"/>
      <c r="C3" s="721"/>
      <c r="D3" s="721"/>
      <c r="E3" s="721"/>
    </row>
    <row r="5" spans="1:5">
      <c r="A5" s="734" t="s">
        <v>1453</v>
      </c>
      <c r="B5" s="734"/>
      <c r="C5" s="734"/>
    </row>
    <row r="6" spans="1:5">
      <c r="A6" s="176" t="s">
        <v>1454</v>
      </c>
      <c r="B6" s="178" t="s">
        <v>1455</v>
      </c>
      <c r="C6" s="179" t="s">
        <v>1456</v>
      </c>
    </row>
    <row r="7" spans="1:5" ht="15.6">
      <c r="A7" s="249" t="s">
        <v>1457</v>
      </c>
      <c r="B7" s="250" t="s">
        <v>1458</v>
      </c>
      <c r="C7" s="251" t="s">
        <v>1459</v>
      </c>
    </row>
    <row r="8" spans="1:5" ht="15.6">
      <c r="A8" s="252" t="s">
        <v>1460</v>
      </c>
      <c r="B8" s="187" t="s">
        <v>1461</v>
      </c>
      <c r="C8" s="253" t="s">
        <v>1462</v>
      </c>
    </row>
    <row r="9" spans="1:5" ht="15.6">
      <c r="A9" s="249" t="s">
        <v>1463</v>
      </c>
      <c r="B9" s="250" t="s">
        <v>1464</v>
      </c>
      <c r="C9" s="251" t="s">
        <v>1465</v>
      </c>
    </row>
    <row r="10" spans="1:5" ht="15.6">
      <c r="A10" s="252" t="s">
        <v>1466</v>
      </c>
      <c r="B10" s="187" t="s">
        <v>1467</v>
      </c>
      <c r="C10" s="253" t="s">
        <v>1468</v>
      </c>
    </row>
    <row r="11" spans="1:5" ht="15.6">
      <c r="A11" s="254" t="s">
        <v>1469</v>
      </c>
      <c r="B11" s="255" t="s">
        <v>1470</v>
      </c>
      <c r="C11" s="256" t="s">
        <v>1471</v>
      </c>
    </row>
    <row r="13" spans="1:5">
      <c r="A13" s="735" t="s">
        <v>1472</v>
      </c>
      <c r="B13" s="735"/>
      <c r="C13" s="735"/>
    </row>
    <row r="14" spans="1:5">
      <c r="A14" s="732" t="s">
        <v>1473</v>
      </c>
      <c r="B14" s="732"/>
      <c r="C14" s="732"/>
    </row>
    <row r="16" spans="1:5">
      <c r="A16" s="245" t="s">
        <v>2</v>
      </c>
      <c r="B16" s="15"/>
      <c r="C16" s="15"/>
    </row>
    <row r="17" spans="1:2">
      <c r="A17" s="159" t="s">
        <v>3</v>
      </c>
      <c r="B17" s="55"/>
    </row>
    <row r="18" spans="1:2">
      <c r="A18" s="159" t="s">
        <v>5</v>
      </c>
      <c r="B18" s="55"/>
    </row>
    <row r="19" spans="1:2">
      <c r="A19" s="159" t="s">
        <v>8</v>
      </c>
      <c r="B19" s="55"/>
    </row>
    <row r="20" spans="1:2">
      <c r="A20" s="159" t="s">
        <v>1474</v>
      </c>
      <c r="B20" s="17" t="s">
        <v>1475</v>
      </c>
    </row>
    <row r="21" spans="1:2">
      <c r="A21" s="159" t="s">
        <v>6</v>
      </c>
      <c r="B21" s="55"/>
    </row>
    <row r="22" spans="1:2">
      <c r="A22" s="159" t="s">
        <v>10</v>
      </c>
      <c r="B22" s="246" t="s">
        <v>11</v>
      </c>
    </row>
    <row r="23" spans="1:2">
      <c r="A23" s="159" t="s">
        <v>12</v>
      </c>
      <c r="B23" s="55"/>
    </row>
    <row r="24" spans="1:2">
      <c r="A24" s="159" t="s">
        <v>16</v>
      </c>
      <c r="B24" s="246">
        <v>1</v>
      </c>
    </row>
    <row r="25" spans="1:2">
      <c r="A25" s="159" t="s">
        <v>14</v>
      </c>
      <c r="B25" s="161"/>
    </row>
    <row r="26" spans="1:2">
      <c r="A26" s="159" t="s">
        <v>18</v>
      </c>
      <c r="B26" s="55"/>
    </row>
    <row r="28" spans="1:2">
      <c r="A28" s="735" t="s">
        <v>20</v>
      </c>
      <c r="B28" s="735"/>
    </row>
    <row r="29" spans="1:2">
      <c r="A29" s="737" t="s">
        <v>1476</v>
      </c>
      <c r="B29" s="737"/>
    </row>
    <row r="30" spans="1:2">
      <c r="A30" s="159" t="s">
        <v>21</v>
      </c>
      <c r="B30" s="55"/>
    </row>
    <row r="32" spans="1:2" ht="15.6">
      <c r="A32" s="738" t="s">
        <v>23</v>
      </c>
      <c r="B32" s="738"/>
    </row>
    <row r="33" spans="1:2">
      <c r="A33" s="732" t="s">
        <v>24</v>
      </c>
      <c r="B33" s="732"/>
    </row>
    <row r="35" spans="1:2">
      <c r="A35" s="159" t="s">
        <v>25</v>
      </c>
      <c r="B35" s="55"/>
    </row>
    <row r="36" spans="1:2">
      <c r="A36" s="159" t="s">
        <v>27</v>
      </c>
      <c r="B36" s="55"/>
    </row>
    <row r="37" spans="1:2">
      <c r="A37" s="159" t="s">
        <v>29</v>
      </c>
      <c r="B37" s="55"/>
    </row>
    <row r="38" spans="1:2">
      <c r="A38" s="159" t="s">
        <v>31</v>
      </c>
      <c r="B38" s="17" t="s">
        <v>32</v>
      </c>
    </row>
    <row r="39" spans="1:2">
      <c r="A39" s="159" t="s">
        <v>33</v>
      </c>
      <c r="B39" s="55"/>
    </row>
    <row r="40" spans="1:2">
      <c r="A40" s="159" t="s">
        <v>35</v>
      </c>
      <c r="B40" s="17" t="s">
        <v>36</v>
      </c>
    </row>
    <row r="42" spans="1:2" ht="15.6">
      <c r="A42" s="738" t="s">
        <v>37</v>
      </c>
      <c r="B42" s="738"/>
    </row>
    <row r="43" spans="1:2">
      <c r="A43" s="736" t="s">
        <v>1477</v>
      </c>
      <c r="B43" s="736"/>
    </row>
    <row r="45" spans="1:2">
      <c r="A45" s="725" t="s">
        <v>1478</v>
      </c>
      <c r="B45" s="725"/>
    </row>
    <row r="46" spans="1:2">
      <c r="A46" s="176" t="s">
        <v>312</v>
      </c>
      <c r="B46" s="179" t="s">
        <v>1479</v>
      </c>
    </row>
    <row r="47" spans="1:2">
      <c r="A47" s="170" t="s">
        <v>39</v>
      </c>
      <c r="B47" s="188"/>
    </row>
    <row r="48" spans="1:2">
      <c r="A48" s="257" t="s">
        <v>42</v>
      </c>
      <c r="B48" s="188"/>
    </row>
    <row r="49" spans="1:2">
      <c r="A49" s="170" t="s">
        <v>43</v>
      </c>
      <c r="B49" s="188"/>
    </row>
    <row r="50" spans="1:2">
      <c r="A50" s="257" t="s">
        <v>45</v>
      </c>
      <c r="B50" s="188"/>
    </row>
    <row r="51" spans="1:2">
      <c r="A51" s="170" t="s">
        <v>44</v>
      </c>
      <c r="B51" s="188"/>
    </row>
    <row r="52" spans="1:2">
      <c r="A52" s="258" t="s">
        <v>47</v>
      </c>
      <c r="B52" s="259" t="s">
        <v>48</v>
      </c>
    </row>
    <row r="54" spans="1:2" ht="15.6">
      <c r="A54" s="738" t="s">
        <v>49</v>
      </c>
      <c r="B54" s="738"/>
    </row>
    <row r="55" spans="1:2">
      <c r="A55" s="732" t="s">
        <v>1480</v>
      </c>
      <c r="B55" s="732"/>
    </row>
    <row r="57" spans="1:2">
      <c r="A57" s="159" t="s">
        <v>50</v>
      </c>
      <c r="B57" s="17" t="s">
        <v>51</v>
      </c>
    </row>
    <row r="58" spans="1:2">
      <c r="A58" s="73" t="s">
        <v>52</v>
      </c>
      <c r="B58" s="17" t="s">
        <v>1481</v>
      </c>
    </row>
    <row r="59" spans="1:2">
      <c r="A59" s="159" t="s">
        <v>54</v>
      </c>
      <c r="B59" s="55"/>
    </row>
    <row r="60" spans="1:2">
      <c r="A60" s="159" t="s">
        <v>56</v>
      </c>
      <c r="B60" s="55"/>
    </row>
    <row r="61" spans="1:2">
      <c r="A61" s="159" t="s">
        <v>58</v>
      </c>
      <c r="B61" s="55"/>
    </row>
    <row r="63" spans="1:2">
      <c r="A63" s="731" t="s">
        <v>60</v>
      </c>
      <c r="B63" s="731"/>
    </row>
    <row r="64" spans="1:2">
      <c r="A64" s="218" t="s">
        <v>61</v>
      </c>
      <c r="B64" s="55"/>
    </row>
    <row r="65" spans="1:5">
      <c r="A65" s="218" t="s">
        <v>63</v>
      </c>
      <c r="B65" s="55"/>
    </row>
    <row r="66" spans="1:5">
      <c r="A66" s="218" t="s">
        <v>65</v>
      </c>
      <c r="B66" s="55"/>
    </row>
    <row r="67" spans="1:5">
      <c r="A67" s="137" t="s">
        <v>67</v>
      </c>
      <c r="B67" s="55"/>
    </row>
    <row r="68" spans="1:5">
      <c r="A68" s="137" t="s">
        <v>69</v>
      </c>
      <c r="B68" s="55"/>
    </row>
    <row r="69" spans="1:5">
      <c r="A69" s="137" t="s">
        <v>71</v>
      </c>
      <c r="B69" s="55"/>
    </row>
    <row r="71" spans="1:5" ht="15.6">
      <c r="A71" s="738" t="s">
        <v>73</v>
      </c>
      <c r="B71" s="738"/>
      <c r="C71" s="738"/>
      <c r="D71" s="738"/>
      <c r="E71" s="738"/>
    </row>
    <row r="72" spans="1:5">
      <c r="A72" s="736" t="s">
        <v>1482</v>
      </c>
      <c r="B72" s="736"/>
      <c r="C72" s="736"/>
      <c r="D72" s="736"/>
      <c r="E72" s="736"/>
    </row>
    <row r="74" spans="1:5">
      <c r="A74" s="159" t="s">
        <v>1141</v>
      </c>
      <c r="B74" s="17" t="s">
        <v>75</v>
      </c>
    </row>
    <row r="76" spans="1:5">
      <c r="A76" s="731" t="s">
        <v>1483</v>
      </c>
      <c r="B76" s="731"/>
    </row>
    <row r="77" spans="1:5">
      <c r="A77" s="159" t="s">
        <v>77</v>
      </c>
      <c r="B77" s="55"/>
    </row>
    <row r="78" spans="1:5">
      <c r="A78" s="159" t="s">
        <v>80</v>
      </c>
      <c r="B78" s="55"/>
    </row>
    <row r="79" spans="1:5">
      <c r="A79" s="159" t="s">
        <v>81</v>
      </c>
      <c r="B79" s="55"/>
    </row>
    <row r="80" spans="1:5">
      <c r="A80" s="159" t="s">
        <v>82</v>
      </c>
      <c r="B80" s="55"/>
    </row>
    <row r="82" spans="1:5">
      <c r="A82" s="725" t="s">
        <v>83</v>
      </c>
      <c r="B82" s="725"/>
      <c r="C82" s="725"/>
      <c r="D82" s="725"/>
      <c r="E82" s="725"/>
    </row>
    <row r="83" spans="1:5">
      <c r="A83" s="176" t="s">
        <v>84</v>
      </c>
      <c r="B83" s="178" t="s">
        <v>85</v>
      </c>
      <c r="C83" s="178" t="s">
        <v>86</v>
      </c>
      <c r="D83" s="178" t="s">
        <v>87</v>
      </c>
      <c r="E83" s="179" t="s">
        <v>88</v>
      </c>
    </row>
    <row r="84" spans="1:5">
      <c r="A84" s="226">
        <v>1</v>
      </c>
      <c r="B84" s="187"/>
      <c r="C84" s="187"/>
      <c r="D84" s="187"/>
      <c r="E84" s="188"/>
    </row>
    <row r="85" spans="1:5">
      <c r="A85" s="260">
        <v>2</v>
      </c>
      <c r="B85" s="250"/>
      <c r="C85" s="250"/>
      <c r="D85" s="250"/>
      <c r="E85" s="261"/>
    </row>
    <row r="86" spans="1:5">
      <c r="A86" s="226">
        <v>3</v>
      </c>
      <c r="B86" s="187"/>
      <c r="C86" s="187"/>
      <c r="D86" s="187"/>
      <c r="E86" s="188"/>
    </row>
    <row r="87" spans="1:5">
      <c r="A87" s="260">
        <v>4</v>
      </c>
      <c r="B87" s="250"/>
      <c r="C87" s="250"/>
      <c r="D87" s="250"/>
      <c r="E87" s="261"/>
    </row>
    <row r="88" spans="1:5">
      <c r="A88" s="226">
        <v>5</v>
      </c>
      <c r="B88" s="187"/>
      <c r="C88" s="187"/>
      <c r="D88" s="187"/>
      <c r="E88" s="188"/>
    </row>
    <row r="89" spans="1:5">
      <c r="A89" s="260">
        <v>6</v>
      </c>
      <c r="B89" s="250"/>
      <c r="C89" s="250"/>
      <c r="D89" s="250"/>
      <c r="E89" s="261"/>
    </row>
    <row r="90" spans="1:5">
      <c r="A90" s="227">
        <v>7</v>
      </c>
      <c r="B90" s="190"/>
      <c r="C90" s="190"/>
      <c r="D90" s="190"/>
      <c r="E90" s="191"/>
    </row>
    <row r="92" spans="1:5">
      <c r="A92" s="159" t="s">
        <v>89</v>
      </c>
      <c r="B92" s="17" t="s">
        <v>90</v>
      </c>
    </row>
    <row r="93" spans="1:5">
      <c r="A93" s="159" t="s">
        <v>91</v>
      </c>
      <c r="B93" s="17" t="s">
        <v>92</v>
      </c>
    </row>
    <row r="94" spans="1:5">
      <c r="A94" s="159" t="s">
        <v>93</v>
      </c>
      <c r="B94" s="17" t="s">
        <v>94</v>
      </c>
    </row>
    <row r="95" spans="1:5">
      <c r="A95" s="159" t="s">
        <v>95</v>
      </c>
      <c r="B95" s="55"/>
    </row>
    <row r="97" spans="1:4" ht="15.6">
      <c r="A97" s="740" t="s">
        <v>96</v>
      </c>
      <c r="B97" s="740"/>
      <c r="C97" s="740"/>
      <c r="D97" s="740"/>
    </row>
    <row r="98" spans="1:4">
      <c r="A98" s="737" t="s">
        <v>1484</v>
      </c>
      <c r="B98" s="737"/>
      <c r="C98" s="737"/>
      <c r="D98" s="737"/>
    </row>
    <row r="100" spans="1:4">
      <c r="A100" s="202" t="s">
        <v>84</v>
      </c>
      <c r="B100" s="203" t="s">
        <v>97</v>
      </c>
      <c r="C100" s="203" t="s">
        <v>98</v>
      </c>
      <c r="D100" s="204" t="s">
        <v>18</v>
      </c>
    </row>
    <row r="101" spans="1:4">
      <c r="A101" s="196">
        <v>1</v>
      </c>
      <c r="B101" s="197"/>
      <c r="C101" s="197"/>
      <c r="D101" s="198"/>
    </row>
    <row r="102" spans="1:4">
      <c r="A102" s="196">
        <v>2</v>
      </c>
      <c r="B102" s="197"/>
      <c r="C102" s="197"/>
      <c r="D102" s="198"/>
    </row>
    <row r="103" spans="1:4">
      <c r="A103" s="199">
        <v>3</v>
      </c>
      <c r="B103" s="200"/>
      <c r="C103" s="200"/>
      <c r="D103" s="201"/>
    </row>
    <row r="105" spans="1:4">
      <c r="A105" s="137" t="s">
        <v>1485</v>
      </c>
      <c r="B105" s="741" t="s">
        <v>1486</v>
      </c>
      <c r="C105" s="741"/>
      <c r="D105" s="741"/>
    </row>
    <row r="107" spans="1:4">
      <c r="A107" s="735" t="s">
        <v>1487</v>
      </c>
      <c r="B107" s="735"/>
      <c r="C107" s="735"/>
    </row>
    <row r="108" spans="1:4">
      <c r="A108" s="159" t="s">
        <v>1488</v>
      </c>
      <c r="B108" s="17" t="s">
        <v>1489</v>
      </c>
    </row>
    <row r="110" spans="1:4">
      <c r="A110" s="725" t="s">
        <v>1490</v>
      </c>
      <c r="B110" s="725"/>
      <c r="C110" s="725"/>
      <c r="D110" s="725"/>
    </row>
    <row r="111" spans="1:4">
      <c r="A111" s="176" t="s">
        <v>1491</v>
      </c>
      <c r="B111" s="178" t="s">
        <v>574</v>
      </c>
      <c r="C111" s="178" t="s">
        <v>1492</v>
      </c>
      <c r="D111" s="179" t="s">
        <v>1263</v>
      </c>
    </row>
    <row r="112" spans="1:4">
      <c r="A112" s="170" t="s">
        <v>1493</v>
      </c>
      <c r="B112" s="250" t="s">
        <v>1494</v>
      </c>
      <c r="C112" s="187"/>
      <c r="D112" s="188"/>
    </row>
    <row r="113" spans="1:4">
      <c r="A113" s="170" t="s">
        <v>1495</v>
      </c>
      <c r="B113" s="250" t="s">
        <v>111</v>
      </c>
      <c r="C113" s="187"/>
      <c r="D113" s="188"/>
    </row>
    <row r="114" spans="1:4">
      <c r="A114" s="173" t="s">
        <v>1496</v>
      </c>
      <c r="B114" s="255" t="s">
        <v>113</v>
      </c>
      <c r="C114" s="190"/>
      <c r="D114" s="191"/>
    </row>
    <row r="116" spans="1:4">
      <c r="A116" s="735" t="s">
        <v>1497</v>
      </c>
      <c r="B116" s="735"/>
    </row>
    <row r="117" spans="1:4">
      <c r="A117" s="159" t="s">
        <v>1498</v>
      </c>
      <c r="B117" s="55"/>
    </row>
    <row r="118" spans="1:4">
      <c r="A118" s="159" t="s">
        <v>1499</v>
      </c>
      <c r="B118" s="55"/>
    </row>
    <row r="119" spans="1:4">
      <c r="A119" s="159" t="s">
        <v>1500</v>
      </c>
      <c r="B119" s="55"/>
    </row>
    <row r="121" spans="1:4">
      <c r="A121" s="739" t="s">
        <v>114</v>
      </c>
      <c r="B121" s="739"/>
      <c r="C121" s="739"/>
    </row>
    <row r="122" spans="1:4">
      <c r="A122" s="22" t="s">
        <v>259</v>
      </c>
      <c r="B122" s="23" t="s">
        <v>1501</v>
      </c>
    </row>
    <row r="123" spans="1:4">
      <c r="A123" s="23" t="s">
        <v>10</v>
      </c>
      <c r="B123" s="23" t="s">
        <v>11</v>
      </c>
    </row>
    <row r="124" spans="1:4">
      <c r="A124" s="23" t="s">
        <v>14</v>
      </c>
      <c r="B124" s="247" t="s">
        <v>1502</v>
      </c>
    </row>
    <row r="125" spans="1:4">
      <c r="A125" s="23" t="s">
        <v>1503</v>
      </c>
      <c r="B125" s="247" t="s">
        <v>1504</v>
      </c>
    </row>
    <row r="126" spans="1:4">
      <c r="A126" s="23" t="s">
        <v>1505</v>
      </c>
      <c r="B126" s="248"/>
    </row>
    <row r="127" spans="1:4">
      <c r="A127" s="23" t="s">
        <v>125</v>
      </c>
      <c r="B127" s="248"/>
    </row>
    <row r="129" spans="1:4">
      <c r="A129" s="733" t="s">
        <v>905</v>
      </c>
      <c r="B129" s="733"/>
      <c r="C129" s="733"/>
      <c r="D129" s="733"/>
    </row>
  </sheetData>
  <mergeCells count="28">
    <mergeCell ref="A110:D110"/>
    <mergeCell ref="A116:B116"/>
    <mergeCell ref="A121:C121"/>
    <mergeCell ref="A129:D129"/>
    <mergeCell ref="A76:B76"/>
    <mergeCell ref="A82:E82"/>
    <mergeCell ref="A97:D97"/>
    <mergeCell ref="A98:D98"/>
    <mergeCell ref="B105:D105"/>
    <mergeCell ref="A107:C107"/>
    <mergeCell ref="A72:E72"/>
    <mergeCell ref="A28:B28"/>
    <mergeCell ref="A29:B29"/>
    <mergeCell ref="A32:B32"/>
    <mergeCell ref="A33:B33"/>
    <mergeCell ref="A42:B42"/>
    <mergeCell ref="A43:B43"/>
    <mergeCell ref="A45:B45"/>
    <mergeCell ref="A54:B54"/>
    <mergeCell ref="A55:B55"/>
    <mergeCell ref="A63:B63"/>
    <mergeCell ref="A71:E71"/>
    <mergeCell ref="A14:C14"/>
    <mergeCell ref="A1:E1"/>
    <mergeCell ref="A2:E2"/>
    <mergeCell ref="A3:E3"/>
    <mergeCell ref="A5:C5"/>
    <mergeCell ref="A13:C13"/>
  </mergeCells>
  <dataValidations count="4">
    <dataValidation type="list" allowBlank="1" showInputMessage="1" showErrorMessage="1" sqref="B26" xr:uid="{92ED8792-A4EF-42C1-A572-0A6B4FE2139A}">
      <formula1>"Draft,Review,Submitted,Published"</formula1>
    </dataValidation>
    <dataValidation type="list" allowBlank="1" showInputMessage="1" showErrorMessage="1" sqref="D112 D113 D114" xr:uid="{52B6449C-D3F5-4D30-9199-9BFD97F69954}">
      <formula1>"Pass,Fail,Pending,N/A"</formula1>
    </dataValidation>
    <dataValidation type="list" allowBlank="1" showInputMessage="1" showErrorMessage="1" sqref="B126" xr:uid="{138B08A2-1107-4756-88BA-28472B2FE334}">
      <formula1>"Yes,No"</formula1>
    </dataValidation>
    <dataValidation type="list" allowBlank="1" showInputMessage="1" showErrorMessage="1" sqref="B127" xr:uid="{FDB38A83-9CB8-4F86-9F0A-FA3917C8F9DE}">
      <formula1>"LCT[P] LFT[P] LMT[P],LCT[F] LFT[P] LMT[P],LCT[P] LFT[F] LMT[P],LCT[P] LFT[P] LMT[F],Mixed,All Pass,All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InputMessage="1" showErrorMessage="1" xr:uid="{74C00A45-8B4C-46C9-8525-86BF9C3FB040}">
          <x14:formula1>
            <xm:f>DROPDOWNS!$K$2:$K$4</xm:f>
          </x14:formula1>
          <xm:sqref>B21</xm:sqref>
        </x14:dataValidation>
        <x14:dataValidation type="list" allowBlank="1" showInputMessage="1" showErrorMessage="1" xr:uid="{78FF9381-ED7B-47F6-AD9E-518E7CC5A6B7}">
          <x14:formula1>
            <xm:f>DROPDOWNS!$L$2:$L$7</xm:f>
          </x14:formula1>
          <xm:sqref>B19</xm:sqref>
        </x14:dataValidation>
        <x14:dataValidation type="list" allowBlank="1" showInputMessage="1" showErrorMessage="1" xr:uid="{ADA0323B-DD32-4414-B8F5-8D707C6337DC}">
          <x14:formula1>
            <xm:f>DROPDOWNS!$A$2:$A$13</xm:f>
          </x14:formula1>
          <xm:sqref>B47</xm:sqref>
        </x14:dataValidation>
        <x14:dataValidation type="list" allowBlank="1" showInputMessage="1" showErrorMessage="1" xr:uid="{A23BD761-2B07-45D8-85AD-51D5A9F6D76C}">
          <x14:formula1>
            <xm:f>DROPDOWNS!$B$2:$B$7</xm:f>
          </x14:formula1>
          <xm:sqref>B48</xm:sqref>
        </x14:dataValidation>
        <x14:dataValidation type="list" allowBlank="1" showInputMessage="1" showErrorMessage="1" xr:uid="{49947E1A-2575-4BDF-9DF9-5A1AB9F7BF1F}">
          <x14:formula1>
            <xm:f>DROPDOWNS!$C$2:$C$8</xm:f>
          </x14:formula1>
          <xm:sqref>B49</xm:sqref>
        </x14:dataValidation>
        <x14:dataValidation type="list" allowBlank="1" showInputMessage="1" showErrorMessage="1" xr:uid="{06EB2CE2-E123-455D-B3E8-E1A07B0CFCE6}">
          <x14:formula1>
            <xm:f>DROPDOWNS!$D$2:$D$6</xm:f>
          </x14:formula1>
          <xm:sqref>B51</xm:sqref>
        </x14:dataValidation>
        <x14:dataValidation type="list" allowBlank="1" showInputMessage="1" showErrorMessage="1" xr:uid="{95D5B5DF-8F71-4BFC-83C2-7B2BBCA5D684}">
          <x14:formula1>
            <xm:f>DROPDOWNS!$G$2:$G$12</xm:f>
          </x14:formula1>
          <xm:sqref>B77 B78 B79 B80</xm:sqref>
        </x14:dataValidation>
        <x14:dataValidation type="list" allowBlank="1" showInputMessage="1" showErrorMessage="1" xr:uid="{B1FCBACF-7FEC-4737-88D5-C39B1C9DA7AD}">
          <x14:formula1>
            <xm:f>DROPDOWNS!$H$2:$H$13</xm:f>
          </x14:formula1>
          <xm:sqref>B84 B85 B86 B87 B88 B89 B90</xm:sqref>
        </x14:dataValidation>
        <x14:dataValidation type="list" allowBlank="1" showInputMessage="1" showErrorMessage="1" xr:uid="{A41F7D02-950E-496D-A89F-880B22F470F3}">
          <x14:formula1>
            <xm:f>DROPDOWNS!$R$2:$R$10</xm:f>
          </x14:formula1>
          <xm:sqref>B95</xm:sqref>
        </x14:dataValidation>
        <x14:dataValidation type="list" allowBlank="1" showInputMessage="1" showErrorMessage="1" xr:uid="{F1379436-4D75-4B3E-AB95-D323681A3DCB}">
          <x14:formula1>
            <xm:f>DROPDOWNS!$I$2:$I$7</xm:f>
          </x14:formula1>
          <xm:sqref>D101 D102 D103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9F0E0-A334-4B98-9626-2B2CBC06F0B0}">
  <dimension ref="A1:E135"/>
  <sheetViews>
    <sheetView workbookViewId="0">
      <pane ySplit="3" topLeftCell="A4" activePane="bottomLeft" state="frozen"/>
      <selection pane="bottomLeft" sqref="A1:E1"/>
    </sheetView>
  </sheetViews>
  <sheetFormatPr defaultRowHeight="14.4"/>
  <cols>
    <col min="1" max="1" width="29.6640625" customWidth="1"/>
    <col min="2" max="2" width="24.109375" customWidth="1"/>
    <col min="3" max="3" width="33.33203125" customWidth="1"/>
    <col min="4" max="4" width="37" customWidth="1"/>
    <col min="5" max="5" width="33.33203125" customWidth="1"/>
  </cols>
  <sheetData>
    <row r="1" spans="1:5" ht="22.8">
      <c r="A1" s="720" t="s">
        <v>1506</v>
      </c>
      <c r="B1" s="720"/>
      <c r="C1" s="720"/>
      <c r="D1" s="720"/>
      <c r="E1" s="720"/>
    </row>
    <row r="2" spans="1:5">
      <c r="A2" s="733" t="s">
        <v>1507</v>
      </c>
      <c r="B2" s="733"/>
      <c r="C2" s="733"/>
      <c r="D2" s="733"/>
      <c r="E2" s="733"/>
    </row>
    <row r="3" spans="1:5">
      <c r="A3" s="721" t="s">
        <v>1508</v>
      </c>
      <c r="B3" s="721"/>
      <c r="C3" s="721"/>
      <c r="D3" s="721"/>
      <c r="E3" s="721"/>
    </row>
    <row r="5" spans="1:5">
      <c r="A5" s="735" t="s">
        <v>1509</v>
      </c>
      <c r="B5" s="735"/>
      <c r="C5" s="735"/>
      <c r="D5" s="735"/>
      <c r="E5" s="735"/>
    </row>
    <row r="6" spans="1:5">
      <c r="A6" s="281" t="s">
        <v>1510</v>
      </c>
      <c r="B6" s="279" t="s">
        <v>1511</v>
      </c>
      <c r="C6" s="279" t="s">
        <v>1512</v>
      </c>
      <c r="D6" s="285" t="s">
        <v>1513</v>
      </c>
    </row>
    <row r="7" spans="1:5">
      <c r="A7" s="282" t="s">
        <v>1514</v>
      </c>
      <c r="B7" s="264" t="s">
        <v>670</v>
      </c>
      <c r="C7" s="265" t="s">
        <v>1515</v>
      </c>
      <c r="D7" s="286" t="s">
        <v>1516</v>
      </c>
    </row>
    <row r="8" spans="1:5">
      <c r="A8" s="283" t="s">
        <v>1517</v>
      </c>
      <c r="B8" s="267" t="s">
        <v>911</v>
      </c>
      <c r="C8" s="268" t="s">
        <v>1370</v>
      </c>
      <c r="D8" s="287" t="s">
        <v>1518</v>
      </c>
    </row>
    <row r="9" spans="1:5">
      <c r="A9" s="282" t="s">
        <v>1519</v>
      </c>
      <c r="B9" s="269" t="s">
        <v>647</v>
      </c>
      <c r="C9" s="265" t="s">
        <v>1520</v>
      </c>
      <c r="D9" s="286" t="s">
        <v>1521</v>
      </c>
    </row>
    <row r="10" spans="1:5">
      <c r="A10" s="283" t="s">
        <v>1522</v>
      </c>
      <c r="B10" s="270" t="s">
        <v>651</v>
      </c>
      <c r="C10" s="268" t="s">
        <v>1523</v>
      </c>
      <c r="D10" s="287" t="s">
        <v>1524</v>
      </c>
    </row>
    <row r="11" spans="1:5">
      <c r="A11" s="282" t="s">
        <v>1525</v>
      </c>
      <c r="B11" s="271" t="s">
        <v>1526</v>
      </c>
      <c r="C11" s="265" t="s">
        <v>1523</v>
      </c>
      <c r="D11" s="286" t="s">
        <v>1527</v>
      </c>
    </row>
    <row r="12" spans="1:5">
      <c r="A12" s="283" t="s">
        <v>1528</v>
      </c>
      <c r="B12" s="270" t="s">
        <v>1529</v>
      </c>
      <c r="C12" s="268" t="s">
        <v>1523</v>
      </c>
      <c r="D12" s="287" t="s">
        <v>1530</v>
      </c>
    </row>
    <row r="13" spans="1:5">
      <c r="A13" s="282" t="s">
        <v>1531</v>
      </c>
      <c r="B13" s="264" t="s">
        <v>1532</v>
      </c>
      <c r="C13" s="265" t="s">
        <v>1533</v>
      </c>
      <c r="D13" s="286" t="s">
        <v>1534</v>
      </c>
    </row>
    <row r="14" spans="1:5">
      <c r="A14" s="283" t="s">
        <v>1535</v>
      </c>
      <c r="B14" s="272" t="s">
        <v>1536</v>
      </c>
      <c r="C14" s="268" t="s">
        <v>1537</v>
      </c>
      <c r="D14" s="287" t="s">
        <v>1538</v>
      </c>
    </row>
    <row r="15" spans="1:5">
      <c r="A15" s="282" t="s">
        <v>1539</v>
      </c>
      <c r="B15" s="273" t="s">
        <v>1540</v>
      </c>
      <c r="C15" s="265" t="s">
        <v>1541</v>
      </c>
      <c r="D15" s="286" t="s">
        <v>1542</v>
      </c>
    </row>
    <row r="16" spans="1:5">
      <c r="A16" s="284" t="s">
        <v>1543</v>
      </c>
      <c r="B16" s="275" t="s">
        <v>416</v>
      </c>
      <c r="C16" s="276" t="s">
        <v>1544</v>
      </c>
      <c r="D16" s="288" t="s">
        <v>1545</v>
      </c>
    </row>
    <row r="18" spans="1:4" ht="15.6">
      <c r="A18" s="740" t="s">
        <v>1546</v>
      </c>
      <c r="B18" s="740"/>
      <c r="C18" s="740"/>
      <c r="D18" s="740"/>
    </row>
    <row r="19" spans="1:4">
      <c r="A19" s="742" t="s">
        <v>1547</v>
      </c>
      <c r="B19" s="742"/>
      <c r="C19" s="742"/>
      <c r="D19" s="742"/>
    </row>
    <row r="20" spans="1:4">
      <c r="A20" s="262" t="s">
        <v>1548</v>
      </c>
      <c r="B20" s="745" t="s">
        <v>1549</v>
      </c>
      <c r="C20" s="745"/>
      <c r="D20" s="745"/>
    </row>
    <row r="21" spans="1:4">
      <c r="A21" s="159" t="s">
        <v>1550</v>
      </c>
      <c r="B21" s="17" t="s">
        <v>1551</v>
      </c>
    </row>
    <row r="22" spans="1:4">
      <c r="A22" s="159" t="s">
        <v>1309</v>
      </c>
      <c r="B22" s="55"/>
    </row>
    <row r="23" spans="1:4">
      <c r="A23" s="137" t="s">
        <v>1552</v>
      </c>
      <c r="B23" s="17" t="s">
        <v>1553</v>
      </c>
      <c r="C23" s="159" t="s">
        <v>1263</v>
      </c>
      <c r="D23" s="55"/>
    </row>
    <row r="24" spans="1:4">
      <c r="A24" s="137" t="s">
        <v>1554</v>
      </c>
      <c r="B24" s="55"/>
      <c r="C24" s="159" t="s">
        <v>1263</v>
      </c>
      <c r="D24" s="55"/>
    </row>
    <row r="25" spans="1:4">
      <c r="A25" s="137" t="s">
        <v>1555</v>
      </c>
      <c r="B25" s="55"/>
      <c r="C25" s="159" t="s">
        <v>1263</v>
      </c>
      <c r="D25" s="55"/>
    </row>
    <row r="26" spans="1:4">
      <c r="A26" s="137" t="s">
        <v>1556</v>
      </c>
      <c r="B26" s="17" t="s">
        <v>1557</v>
      </c>
    </row>
    <row r="27" spans="1:4">
      <c r="A27" s="218" t="s">
        <v>1558</v>
      </c>
      <c r="B27" s="55"/>
    </row>
    <row r="28" spans="1:4">
      <c r="A28" s="73" t="s">
        <v>1559</v>
      </c>
      <c r="B28" s="55"/>
    </row>
    <row r="29" spans="1:4">
      <c r="A29" s="73" t="s">
        <v>1560</v>
      </c>
      <c r="B29" s="55"/>
    </row>
    <row r="30" spans="1:4">
      <c r="A30" s="73" t="s">
        <v>1561</v>
      </c>
      <c r="B30" s="55"/>
    </row>
    <row r="32" spans="1:4" ht="15.6">
      <c r="A32" s="738" t="s">
        <v>1562</v>
      </c>
      <c r="B32" s="738"/>
      <c r="C32" s="738"/>
      <c r="D32" s="738"/>
    </row>
    <row r="33" spans="1:4">
      <c r="A33" s="736" t="s">
        <v>1563</v>
      </c>
      <c r="B33" s="736"/>
      <c r="C33" s="736"/>
      <c r="D33" s="736"/>
    </row>
    <row r="34" spans="1:4">
      <c r="A34" s="262" t="s">
        <v>1548</v>
      </c>
      <c r="B34" s="745" t="s">
        <v>1564</v>
      </c>
      <c r="C34" s="745"/>
      <c r="D34" s="745"/>
    </row>
    <row r="35" spans="1:4">
      <c r="A35" s="159" t="s">
        <v>1565</v>
      </c>
      <c r="B35" s="55"/>
    </row>
    <row r="36" spans="1:4">
      <c r="A36" s="159" t="s">
        <v>1566</v>
      </c>
      <c r="B36" s="55"/>
    </row>
    <row r="37" spans="1:4">
      <c r="A37" s="159" t="s">
        <v>1567</v>
      </c>
      <c r="B37" s="55"/>
    </row>
    <row r="38" spans="1:4">
      <c r="A38" s="159" t="s">
        <v>1568</v>
      </c>
      <c r="B38" s="55"/>
    </row>
    <row r="39" spans="1:4">
      <c r="A39" s="159" t="s">
        <v>1569</v>
      </c>
      <c r="B39" s="55"/>
    </row>
    <row r="40" spans="1:4">
      <c r="A40" s="73" t="s">
        <v>1570</v>
      </c>
      <c r="B40" s="55"/>
    </row>
    <row r="41" spans="1:4">
      <c r="A41" s="73" t="s">
        <v>1571</v>
      </c>
      <c r="B41" s="55"/>
    </row>
    <row r="43" spans="1:4" ht="15.6">
      <c r="A43" s="738" t="s">
        <v>1572</v>
      </c>
      <c r="B43" s="738"/>
      <c r="C43" s="738"/>
      <c r="D43" s="738"/>
    </row>
    <row r="44" spans="1:4">
      <c r="A44" s="732" t="s">
        <v>1573</v>
      </c>
      <c r="B44" s="732"/>
      <c r="C44" s="732"/>
      <c r="D44" s="732"/>
    </row>
    <row r="45" spans="1:4">
      <c r="A45" s="262" t="s">
        <v>1548</v>
      </c>
      <c r="B45" s="745" t="s">
        <v>1574</v>
      </c>
      <c r="C45" s="745"/>
      <c r="D45" s="745"/>
    </row>
    <row r="46" spans="1:4">
      <c r="A46" s="159" t="s">
        <v>1575</v>
      </c>
      <c r="B46" s="55"/>
    </row>
    <row r="47" spans="1:4">
      <c r="A47" s="290" t="s">
        <v>1576</v>
      </c>
      <c r="B47" s="277" t="s">
        <v>583</v>
      </c>
      <c r="C47" s="277" t="s">
        <v>1577</v>
      </c>
      <c r="D47" s="293" t="s">
        <v>1578</v>
      </c>
    </row>
    <row r="48" spans="1:4">
      <c r="A48" s="67"/>
      <c r="B48" s="60"/>
      <c r="C48" s="60"/>
      <c r="D48" s="294"/>
    </row>
    <row r="49" spans="1:4">
      <c r="A49" s="291"/>
      <c r="B49" s="98"/>
      <c r="C49" s="98"/>
      <c r="D49" s="97"/>
    </row>
    <row r="50" spans="1:4">
      <c r="A50" s="67"/>
      <c r="B50" s="60"/>
      <c r="C50" s="60"/>
      <c r="D50" s="294"/>
    </row>
    <row r="51" spans="1:4">
      <c r="A51" s="292"/>
      <c r="B51" s="289"/>
      <c r="C51" s="289"/>
      <c r="D51" s="295"/>
    </row>
    <row r="52" spans="1:4">
      <c r="A52" s="73" t="s">
        <v>1194</v>
      </c>
      <c r="B52" s="55"/>
    </row>
    <row r="54" spans="1:4" ht="15.6">
      <c r="A54" s="738" t="s">
        <v>1579</v>
      </c>
      <c r="B54" s="738"/>
      <c r="C54" s="738"/>
      <c r="D54" s="738"/>
    </row>
    <row r="55" spans="1:4">
      <c r="A55" s="732" t="s">
        <v>1580</v>
      </c>
      <c r="B55" s="732"/>
      <c r="C55" s="732"/>
      <c r="D55" s="732"/>
    </row>
    <row r="56" spans="1:4">
      <c r="A56" s="262" t="s">
        <v>1548</v>
      </c>
      <c r="B56" s="745" t="s">
        <v>1581</v>
      </c>
      <c r="C56" s="745"/>
      <c r="D56" s="745"/>
    </row>
    <row r="57" spans="1:4">
      <c r="A57" s="159" t="s">
        <v>1582</v>
      </c>
      <c r="B57" s="55"/>
    </row>
    <row r="58" spans="1:4">
      <c r="A58" s="159" t="s">
        <v>1583</v>
      </c>
      <c r="B58" s="55"/>
    </row>
    <row r="59" spans="1:4">
      <c r="A59" s="159" t="s">
        <v>1584</v>
      </c>
      <c r="B59" s="17" t="s">
        <v>1585</v>
      </c>
    </row>
    <row r="60" spans="1:4">
      <c r="A60" s="73" t="s">
        <v>1586</v>
      </c>
      <c r="B60" s="55"/>
    </row>
    <row r="61" spans="1:4">
      <c r="A61" s="73" t="s">
        <v>1587</v>
      </c>
      <c r="B61" s="17" t="s">
        <v>1588</v>
      </c>
    </row>
    <row r="63" spans="1:4" ht="15.6">
      <c r="A63" s="738" t="s">
        <v>1589</v>
      </c>
      <c r="B63" s="738"/>
      <c r="C63" s="738"/>
      <c r="D63" s="738"/>
    </row>
    <row r="64" spans="1:4">
      <c r="A64" s="732" t="s">
        <v>1590</v>
      </c>
      <c r="B64" s="732"/>
      <c r="C64" s="732"/>
      <c r="D64" s="732"/>
    </row>
    <row r="65" spans="1:4">
      <c r="A65" s="262" t="s">
        <v>1548</v>
      </c>
      <c r="B65" s="745" t="s">
        <v>1591</v>
      </c>
      <c r="C65" s="745"/>
      <c r="D65" s="745"/>
    </row>
    <row r="66" spans="1:4">
      <c r="A66" s="159" t="s">
        <v>1592</v>
      </c>
      <c r="B66" s="55"/>
    </row>
    <row r="67" spans="1:4">
      <c r="A67" s="159" t="s">
        <v>1593</v>
      </c>
      <c r="B67" s="55"/>
    </row>
    <row r="68" spans="1:4">
      <c r="A68" s="159" t="s">
        <v>1594</v>
      </c>
      <c r="B68" s="55"/>
    </row>
    <row r="69" spans="1:4">
      <c r="A69" s="73" t="s">
        <v>1595</v>
      </c>
      <c r="B69" s="55"/>
    </row>
    <row r="70" spans="1:4">
      <c r="A70" s="159" t="s">
        <v>1596</v>
      </c>
      <c r="B70" s="55"/>
    </row>
    <row r="71" spans="1:4">
      <c r="A71" s="159" t="s">
        <v>1597</v>
      </c>
      <c r="B71" s="55"/>
    </row>
    <row r="72" spans="1:4">
      <c r="A72" s="73" t="s">
        <v>1598</v>
      </c>
      <c r="B72" s="55"/>
    </row>
    <row r="74" spans="1:4" ht="15.6">
      <c r="A74" s="738" t="s">
        <v>1599</v>
      </c>
      <c r="B74" s="738"/>
      <c r="C74" s="738"/>
      <c r="D74" s="738"/>
    </row>
    <row r="75" spans="1:4">
      <c r="A75" s="732" t="s">
        <v>1600</v>
      </c>
      <c r="B75" s="732"/>
      <c r="C75" s="732"/>
      <c r="D75" s="732"/>
    </row>
    <row r="76" spans="1:4">
      <c r="A76" s="262" t="s">
        <v>1548</v>
      </c>
      <c r="B76" s="745" t="s">
        <v>1601</v>
      </c>
      <c r="C76" s="745"/>
      <c r="D76" s="745"/>
    </row>
    <row r="77" spans="1:4">
      <c r="A77" s="159" t="s">
        <v>1602</v>
      </c>
      <c r="B77" s="55"/>
    </row>
    <row r="78" spans="1:4">
      <c r="A78" s="159" t="s">
        <v>1603</v>
      </c>
      <c r="B78" s="55"/>
    </row>
    <row r="79" spans="1:4">
      <c r="A79" s="73" t="s">
        <v>1604</v>
      </c>
      <c r="B79" s="55"/>
    </row>
    <row r="80" spans="1:4">
      <c r="A80" s="73" t="s">
        <v>1605</v>
      </c>
      <c r="B80" s="55"/>
    </row>
    <row r="81" spans="1:4">
      <c r="A81" s="137" t="s">
        <v>1606</v>
      </c>
      <c r="B81" s="17" t="s">
        <v>1607</v>
      </c>
    </row>
    <row r="83" spans="1:4" ht="15.6">
      <c r="A83" s="740" t="s">
        <v>1608</v>
      </c>
      <c r="B83" s="740"/>
      <c r="C83" s="740"/>
      <c r="D83" s="740"/>
    </row>
    <row r="84" spans="1:4">
      <c r="A84" s="742" t="s">
        <v>1609</v>
      </c>
      <c r="B84" s="742"/>
      <c r="C84" s="742"/>
      <c r="D84" s="742"/>
    </row>
    <row r="85" spans="1:4">
      <c r="A85" s="262" t="s">
        <v>1548</v>
      </c>
      <c r="B85" s="745" t="s">
        <v>1610</v>
      </c>
      <c r="C85" s="745"/>
      <c r="D85" s="745"/>
    </row>
    <row r="86" spans="1:4">
      <c r="A86" s="159" t="s">
        <v>1611</v>
      </c>
      <c r="B86" s="55"/>
    </row>
    <row r="87" spans="1:4">
      <c r="A87" s="137" t="s">
        <v>1612</v>
      </c>
      <c r="B87" s="55"/>
    </row>
    <row r="88" spans="1:4">
      <c r="A88" s="159" t="s">
        <v>1613</v>
      </c>
      <c r="B88" s="55"/>
    </row>
    <row r="89" spans="1:4">
      <c r="A89" s="218" t="s">
        <v>1492</v>
      </c>
      <c r="B89" s="55"/>
    </row>
    <row r="90" spans="1:4">
      <c r="A90" s="137" t="s">
        <v>1614</v>
      </c>
      <c r="B90" s="55"/>
    </row>
    <row r="91" spans="1:4">
      <c r="A91" s="73" t="s">
        <v>1615</v>
      </c>
      <c r="B91" s="55"/>
    </row>
    <row r="93" spans="1:4" ht="15.6">
      <c r="A93" s="738" t="s">
        <v>1616</v>
      </c>
      <c r="B93" s="738"/>
      <c r="C93" s="738"/>
      <c r="D93" s="738"/>
    </row>
    <row r="94" spans="1:4">
      <c r="A94" s="732" t="s">
        <v>1617</v>
      </c>
      <c r="B94" s="732"/>
      <c r="C94" s="732"/>
      <c r="D94" s="732"/>
    </row>
    <row r="95" spans="1:4">
      <c r="A95" s="262" t="s">
        <v>1548</v>
      </c>
      <c r="B95" s="745" t="s">
        <v>1618</v>
      </c>
      <c r="C95" s="745"/>
      <c r="D95" s="745"/>
    </row>
    <row r="96" spans="1:4">
      <c r="A96" s="159" t="s">
        <v>1619</v>
      </c>
      <c r="B96" s="17" t="s">
        <v>1620</v>
      </c>
    </row>
    <row r="97" spans="1:4">
      <c r="A97" s="73" t="s">
        <v>1621</v>
      </c>
      <c r="B97" s="17" t="s">
        <v>1622</v>
      </c>
    </row>
    <row r="98" spans="1:4">
      <c r="A98" s="159" t="s">
        <v>1623</v>
      </c>
      <c r="B98" s="55"/>
    </row>
    <row r="99" spans="1:4">
      <c r="A99" s="159" t="s">
        <v>1624</v>
      </c>
      <c r="B99" s="55"/>
    </row>
    <row r="101" spans="1:4" ht="15.6">
      <c r="A101" s="738" t="s">
        <v>1625</v>
      </c>
      <c r="B101" s="738"/>
      <c r="C101" s="738"/>
      <c r="D101" s="738"/>
    </row>
    <row r="102" spans="1:4">
      <c r="A102" s="732" t="s">
        <v>1626</v>
      </c>
      <c r="B102" s="732"/>
      <c r="C102" s="732"/>
      <c r="D102" s="732"/>
    </row>
    <row r="103" spans="1:4">
      <c r="A103" s="262" t="s">
        <v>1548</v>
      </c>
      <c r="B103" s="745" t="s">
        <v>1627</v>
      </c>
      <c r="C103" s="745"/>
      <c r="D103" s="745"/>
    </row>
    <row r="104" spans="1:4">
      <c r="A104" s="159" t="s">
        <v>1628</v>
      </c>
      <c r="B104" s="55"/>
    </row>
    <row r="105" spans="1:4">
      <c r="A105" s="159" t="s">
        <v>1629</v>
      </c>
      <c r="B105" s="55"/>
    </row>
    <row r="106" spans="1:4">
      <c r="A106" s="218" t="s">
        <v>1630</v>
      </c>
      <c r="B106" s="55"/>
    </row>
    <row r="107" spans="1:4">
      <c r="A107" s="137" t="s">
        <v>97</v>
      </c>
      <c r="B107" s="55"/>
    </row>
    <row r="108" spans="1:4">
      <c r="A108" s="159" t="s">
        <v>1631</v>
      </c>
      <c r="B108" s="55"/>
    </row>
    <row r="110" spans="1:4" ht="15.6">
      <c r="A110" s="738" t="s">
        <v>1632</v>
      </c>
      <c r="B110" s="738"/>
      <c r="C110" s="738"/>
      <c r="D110" s="738"/>
    </row>
    <row r="111" spans="1:4">
      <c r="A111" s="732" t="s">
        <v>1633</v>
      </c>
      <c r="B111" s="732"/>
      <c r="C111" s="732"/>
      <c r="D111" s="732"/>
    </row>
    <row r="112" spans="1:4">
      <c r="A112" s="262" t="s">
        <v>1548</v>
      </c>
      <c r="B112" s="745" t="s">
        <v>1634</v>
      </c>
      <c r="C112" s="745"/>
      <c r="D112" s="745"/>
    </row>
    <row r="113" spans="1:4">
      <c r="A113" s="159" t="s">
        <v>1635</v>
      </c>
      <c r="B113" s="55"/>
    </row>
    <row r="114" spans="1:4">
      <c r="A114" s="159" t="s">
        <v>1636</v>
      </c>
      <c r="B114" s="55"/>
    </row>
    <row r="115" spans="1:4">
      <c r="A115" s="159" t="s">
        <v>1637</v>
      </c>
      <c r="B115" s="55"/>
    </row>
    <row r="116" spans="1:4">
      <c r="A116" s="218" t="s">
        <v>1638</v>
      </c>
      <c r="B116" s="55"/>
    </row>
    <row r="117" spans="1:4">
      <c r="A117" s="137" t="s">
        <v>1639</v>
      </c>
      <c r="B117" s="55"/>
    </row>
    <row r="118" spans="1:4">
      <c r="A118" s="73" t="s">
        <v>1640</v>
      </c>
      <c r="B118" s="55"/>
    </row>
    <row r="120" spans="1:4">
      <c r="A120" s="735" t="s">
        <v>1641</v>
      </c>
      <c r="B120" s="735"/>
      <c r="C120" s="735"/>
      <c r="D120" s="735"/>
    </row>
    <row r="121" spans="1:4">
      <c r="A121" s="732" t="s">
        <v>1642</v>
      </c>
      <c r="B121" s="732"/>
      <c r="C121" s="732"/>
      <c r="D121" s="732"/>
    </row>
    <row r="123" spans="1:4">
      <c r="A123" s="278" t="s">
        <v>1643</v>
      </c>
      <c r="B123" s="279" t="s">
        <v>1644</v>
      </c>
      <c r="C123" s="280" t="s">
        <v>1645</v>
      </c>
    </row>
    <row r="124" spans="1:4">
      <c r="A124" s="263" t="s">
        <v>1646</v>
      </c>
      <c r="B124" s="98" t="s">
        <v>1647</v>
      </c>
      <c r="C124" s="96" t="s">
        <v>1648</v>
      </c>
    </row>
    <row r="125" spans="1:4">
      <c r="A125" s="266" t="s">
        <v>1649</v>
      </c>
      <c r="B125" s="60" t="s">
        <v>1650</v>
      </c>
      <c r="C125" s="296" t="s">
        <v>1651</v>
      </c>
    </row>
    <row r="126" spans="1:4">
      <c r="A126" s="263" t="s">
        <v>1652</v>
      </c>
      <c r="B126" s="98" t="s">
        <v>1653</v>
      </c>
      <c r="C126" s="96" t="s">
        <v>1654</v>
      </c>
    </row>
    <row r="127" spans="1:4">
      <c r="A127" s="274" t="s">
        <v>1655</v>
      </c>
      <c r="B127" s="297" t="s">
        <v>1656</v>
      </c>
      <c r="C127" s="298" t="s">
        <v>1657</v>
      </c>
    </row>
    <row r="129" spans="1:4">
      <c r="A129" s="743" t="s">
        <v>1658</v>
      </c>
      <c r="B129" s="743"/>
      <c r="C129" s="743"/>
      <c r="D129" s="743"/>
    </row>
    <row r="131" spans="1:4">
      <c r="A131" s="744" t="s">
        <v>114</v>
      </c>
      <c r="B131" s="744"/>
      <c r="C131" s="744"/>
    </row>
    <row r="132" spans="1:4">
      <c r="A132" s="299" t="s">
        <v>88</v>
      </c>
      <c r="B132" s="299" t="s">
        <v>1659</v>
      </c>
      <c r="C132" s="300"/>
    </row>
    <row r="133" spans="1:4">
      <c r="A133" s="299" t="s">
        <v>1660</v>
      </c>
      <c r="B133" s="299" t="s">
        <v>1661</v>
      </c>
      <c r="C133" s="300"/>
    </row>
    <row r="134" spans="1:4">
      <c r="A134" s="299" t="s">
        <v>1662</v>
      </c>
      <c r="B134" s="299" t="s">
        <v>1663</v>
      </c>
      <c r="C134" s="300"/>
    </row>
    <row r="135" spans="1:4">
      <c r="A135" s="301" t="s">
        <v>1664</v>
      </c>
      <c r="B135" s="301" t="s">
        <v>1665</v>
      </c>
      <c r="C135" s="302"/>
    </row>
  </sheetData>
  <mergeCells count="38">
    <mergeCell ref="B85:D85"/>
    <mergeCell ref="B95:D95"/>
    <mergeCell ref="B103:D103"/>
    <mergeCell ref="B112:D112"/>
    <mergeCell ref="A120:D120"/>
    <mergeCell ref="A121:D121"/>
    <mergeCell ref="A129:D129"/>
    <mergeCell ref="A131:C131"/>
    <mergeCell ref="B20:D20"/>
    <mergeCell ref="B34:D34"/>
    <mergeCell ref="B45:D45"/>
    <mergeCell ref="B56:D56"/>
    <mergeCell ref="B65:D65"/>
    <mergeCell ref="B76:D76"/>
    <mergeCell ref="A93:D93"/>
    <mergeCell ref="A94:D94"/>
    <mergeCell ref="A101:D101"/>
    <mergeCell ref="A102:D102"/>
    <mergeCell ref="A110:D110"/>
    <mergeCell ref="A111:D111"/>
    <mergeCell ref="A63:D63"/>
    <mergeCell ref="A64:D64"/>
    <mergeCell ref="A74:D74"/>
    <mergeCell ref="A75:D75"/>
    <mergeCell ref="A83:D83"/>
    <mergeCell ref="A84:D84"/>
    <mergeCell ref="A55:D55"/>
    <mergeCell ref="A1:E1"/>
    <mergeCell ref="A2:E2"/>
    <mergeCell ref="A3:E3"/>
    <mergeCell ref="A5:E5"/>
    <mergeCell ref="A18:D18"/>
    <mergeCell ref="A19:D19"/>
    <mergeCell ref="A32:D32"/>
    <mergeCell ref="A33:D33"/>
    <mergeCell ref="A43:D43"/>
    <mergeCell ref="A44:D44"/>
    <mergeCell ref="A54:D5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D6674-9634-4C52-B2FC-0276D515FCA4}">
  <dimension ref="A1:L35"/>
  <sheetViews>
    <sheetView workbookViewId="0">
      <pane ySplit="4" topLeftCell="A5" activePane="bottomLeft" state="frozen"/>
      <selection pane="bottomLeft" sqref="A1:L1"/>
    </sheetView>
  </sheetViews>
  <sheetFormatPr defaultRowHeight="14.4"/>
  <cols>
    <col min="1" max="1" width="25.88671875" customWidth="1"/>
    <col min="2" max="2" width="10.21875" customWidth="1"/>
    <col min="3" max="3" width="33.33203125" customWidth="1"/>
    <col min="4" max="4" width="10.21875" customWidth="1"/>
    <col min="5" max="5" width="7.44140625" customWidth="1"/>
    <col min="6" max="6" width="10.21875" customWidth="1"/>
    <col min="7" max="7" width="33.33203125" customWidth="1"/>
    <col min="8" max="8" width="10.21875" customWidth="1"/>
    <col min="9" max="9" width="7.44140625" customWidth="1"/>
    <col min="10" max="10" width="10.21875" customWidth="1"/>
    <col min="11" max="11" width="33.33203125" customWidth="1"/>
    <col min="12" max="12" width="10.21875" customWidth="1"/>
  </cols>
  <sheetData>
    <row r="1" spans="1:12" ht="21">
      <c r="A1" s="746" t="s">
        <v>1869</v>
      </c>
      <c r="B1" s="746"/>
      <c r="C1" s="746"/>
      <c r="D1" s="746"/>
      <c r="E1" s="746"/>
      <c r="F1" s="746"/>
      <c r="G1" s="746"/>
      <c r="H1" s="746"/>
      <c r="I1" s="746"/>
      <c r="J1" s="746"/>
      <c r="K1" s="746"/>
      <c r="L1" s="746"/>
    </row>
    <row r="2" spans="1:12">
      <c r="A2" s="747" t="s">
        <v>1666</v>
      </c>
      <c r="B2" s="747"/>
      <c r="C2" s="747"/>
      <c r="D2" s="747"/>
      <c r="E2" s="747"/>
      <c r="F2" s="747"/>
      <c r="G2" s="747"/>
      <c r="H2" s="747"/>
      <c r="I2" s="747"/>
      <c r="J2" s="747"/>
      <c r="K2" s="747"/>
      <c r="L2" s="747"/>
    </row>
    <row r="4" spans="1:12" ht="17.399999999999999">
      <c r="A4" s="339" t="s">
        <v>1667</v>
      </c>
      <c r="B4" s="339" t="s">
        <v>1668</v>
      </c>
      <c r="C4" s="340" t="s">
        <v>1669</v>
      </c>
      <c r="D4" s="341" t="s">
        <v>1670</v>
      </c>
      <c r="E4" s="342" t="s">
        <v>1671</v>
      </c>
      <c r="F4" s="339" t="s">
        <v>1668</v>
      </c>
      <c r="G4" s="340" t="s">
        <v>1672</v>
      </c>
      <c r="H4" s="341" t="s">
        <v>1670</v>
      </c>
      <c r="I4" s="342" t="s">
        <v>1671</v>
      </c>
      <c r="J4" s="339" t="s">
        <v>1668</v>
      </c>
      <c r="K4" s="343" t="s">
        <v>1673</v>
      </c>
      <c r="L4" s="341" t="s">
        <v>1670</v>
      </c>
    </row>
    <row r="5" spans="1:12" ht="28.05" customHeight="1">
      <c r="A5" s="749" t="s">
        <v>1674</v>
      </c>
      <c r="B5" s="311" t="s">
        <v>1675</v>
      </c>
      <c r="C5" s="312" t="s">
        <v>1676</v>
      </c>
      <c r="D5" s="313" t="s">
        <v>1677</v>
      </c>
      <c r="E5" s="314" t="s">
        <v>1678</v>
      </c>
      <c r="F5" s="311" t="s">
        <v>1675</v>
      </c>
      <c r="G5" s="312" t="s">
        <v>1679</v>
      </c>
      <c r="H5" s="313" t="s">
        <v>1680</v>
      </c>
      <c r="I5" s="314" t="s">
        <v>1678</v>
      </c>
      <c r="J5" s="311" t="s">
        <v>1681</v>
      </c>
      <c r="K5" s="315" t="s">
        <v>1682</v>
      </c>
      <c r="L5" s="316" t="s">
        <v>1370</v>
      </c>
    </row>
    <row r="6" spans="1:12" ht="4.05" customHeight="1" thickBot="1">
      <c r="A6" s="750"/>
      <c r="B6" s="352"/>
      <c r="C6" s="352"/>
      <c r="D6" s="352"/>
      <c r="E6" s="352"/>
      <c r="F6" s="352"/>
      <c r="G6" s="352"/>
      <c r="H6" s="352"/>
      <c r="I6" s="352"/>
      <c r="J6" s="352"/>
      <c r="K6" s="352"/>
      <c r="L6" s="352"/>
    </row>
    <row r="7" spans="1:12">
      <c r="A7" s="317" t="s">
        <v>1683</v>
      </c>
      <c r="B7" s="318" t="s">
        <v>1675</v>
      </c>
      <c r="C7" s="319" t="s">
        <v>1684</v>
      </c>
      <c r="D7" s="320">
        <v>3</v>
      </c>
      <c r="E7" s="321" t="s">
        <v>1685</v>
      </c>
      <c r="F7" s="318" t="s">
        <v>1675</v>
      </c>
      <c r="G7" s="319" t="s">
        <v>1686</v>
      </c>
      <c r="H7" s="320">
        <v>3</v>
      </c>
      <c r="I7" s="322" t="s">
        <v>1685</v>
      </c>
      <c r="J7" s="318" t="s">
        <v>1681</v>
      </c>
      <c r="K7" s="11"/>
      <c r="L7" s="323" t="s">
        <v>1370</v>
      </c>
    </row>
    <row r="8" spans="1:12">
      <c r="A8" s="324" t="s">
        <v>1687</v>
      </c>
      <c r="B8" s="325" t="s">
        <v>1675</v>
      </c>
      <c r="C8" s="326" t="s">
        <v>1688</v>
      </c>
      <c r="D8" s="327">
        <v>4</v>
      </c>
      <c r="E8" s="328" t="s">
        <v>1685</v>
      </c>
      <c r="F8" s="325" t="s">
        <v>1675</v>
      </c>
      <c r="G8" s="326" t="s">
        <v>1689</v>
      </c>
      <c r="H8" s="327">
        <v>3</v>
      </c>
      <c r="I8" s="329" t="s">
        <v>1685</v>
      </c>
      <c r="J8" s="325" t="s">
        <v>1681</v>
      </c>
      <c r="K8" s="305"/>
      <c r="L8" s="330" t="s">
        <v>1370</v>
      </c>
    </row>
    <row r="9" spans="1:12">
      <c r="A9" s="317" t="s">
        <v>1690</v>
      </c>
      <c r="B9" s="318" t="s">
        <v>1675</v>
      </c>
      <c r="C9" s="319" t="s">
        <v>1691</v>
      </c>
      <c r="D9" s="320">
        <v>2</v>
      </c>
      <c r="E9" s="321" t="s">
        <v>1685</v>
      </c>
      <c r="F9" s="318" t="s">
        <v>1675</v>
      </c>
      <c r="G9" s="319" t="s">
        <v>1692</v>
      </c>
      <c r="H9" s="320">
        <v>2</v>
      </c>
      <c r="I9" s="322" t="s">
        <v>1685</v>
      </c>
      <c r="J9" s="318" t="s">
        <v>1681</v>
      </c>
      <c r="K9" s="11"/>
      <c r="L9" s="323" t="s">
        <v>1370</v>
      </c>
    </row>
    <row r="10" spans="1:12" ht="17.399999999999999">
      <c r="A10" s="324" t="s">
        <v>1693</v>
      </c>
      <c r="B10" s="325" t="s">
        <v>1675</v>
      </c>
      <c r="C10" s="326" t="s">
        <v>1694</v>
      </c>
      <c r="D10" s="331">
        <v>1</v>
      </c>
      <c r="E10" s="332" t="s">
        <v>1695</v>
      </c>
      <c r="F10" s="325" t="s">
        <v>1675</v>
      </c>
      <c r="G10" s="326" t="s">
        <v>1696</v>
      </c>
      <c r="H10" s="327">
        <v>2</v>
      </c>
      <c r="I10" s="329" t="s">
        <v>1685</v>
      </c>
      <c r="J10" s="325" t="s">
        <v>1681</v>
      </c>
      <c r="K10" s="305"/>
      <c r="L10" s="330" t="s">
        <v>1370</v>
      </c>
    </row>
    <row r="11" spans="1:12">
      <c r="A11" s="317" t="s">
        <v>1697</v>
      </c>
      <c r="B11" s="318" t="s">
        <v>1675</v>
      </c>
      <c r="C11" s="319" t="s">
        <v>1698</v>
      </c>
      <c r="D11" s="333">
        <v>1</v>
      </c>
      <c r="E11" s="321" t="s">
        <v>1685</v>
      </c>
      <c r="F11" s="318" t="s">
        <v>1675</v>
      </c>
      <c r="G11" s="319" t="s">
        <v>1699</v>
      </c>
      <c r="H11" s="333">
        <v>1</v>
      </c>
      <c r="I11" s="322" t="s">
        <v>1685</v>
      </c>
      <c r="J11" s="318" t="s">
        <v>1681</v>
      </c>
      <c r="K11" s="11"/>
      <c r="L11" s="323" t="s">
        <v>1370</v>
      </c>
    </row>
    <row r="12" spans="1:12" ht="17.399999999999999">
      <c r="A12" s="334" t="s">
        <v>1700</v>
      </c>
      <c r="B12" s="325" t="s">
        <v>1675</v>
      </c>
      <c r="C12" s="326" t="s">
        <v>1701</v>
      </c>
      <c r="D12" s="327">
        <v>3</v>
      </c>
      <c r="E12" s="335" t="s">
        <v>1702</v>
      </c>
      <c r="F12" s="325" t="s">
        <v>1703</v>
      </c>
      <c r="G12" s="336" t="s">
        <v>1704</v>
      </c>
      <c r="H12" s="337">
        <v>1</v>
      </c>
      <c r="I12" s="329" t="s">
        <v>1685</v>
      </c>
      <c r="J12" s="325" t="s">
        <v>1681</v>
      </c>
      <c r="K12" s="305"/>
      <c r="L12" s="330" t="s">
        <v>1370</v>
      </c>
    </row>
    <row r="13" spans="1:12">
      <c r="A13" s="317" t="s">
        <v>1705</v>
      </c>
      <c r="B13" s="318" t="s">
        <v>1675</v>
      </c>
      <c r="C13" s="319" t="s">
        <v>1706</v>
      </c>
      <c r="D13" s="320">
        <v>4</v>
      </c>
      <c r="E13" s="321" t="s">
        <v>1685</v>
      </c>
      <c r="F13" s="318" t="s">
        <v>1675</v>
      </c>
      <c r="G13" s="319" t="s">
        <v>1707</v>
      </c>
      <c r="H13" s="320">
        <v>3</v>
      </c>
      <c r="I13" s="322" t="s">
        <v>1685</v>
      </c>
      <c r="J13" s="318" t="s">
        <v>1681</v>
      </c>
      <c r="K13" s="11"/>
      <c r="L13" s="323" t="s">
        <v>1370</v>
      </c>
    </row>
    <row r="14" spans="1:12">
      <c r="A14" s="324" t="s">
        <v>1708</v>
      </c>
      <c r="B14" s="325" t="s">
        <v>1675</v>
      </c>
      <c r="C14" s="326" t="s">
        <v>1709</v>
      </c>
      <c r="D14" s="327">
        <v>3</v>
      </c>
      <c r="E14" s="328" t="s">
        <v>1685</v>
      </c>
      <c r="F14" s="325" t="s">
        <v>1675</v>
      </c>
      <c r="G14" s="326" t="s">
        <v>1710</v>
      </c>
      <c r="H14" s="327">
        <v>2</v>
      </c>
      <c r="I14" s="329" t="s">
        <v>1685</v>
      </c>
      <c r="J14" s="325" t="s">
        <v>1681</v>
      </c>
      <c r="K14" s="305"/>
      <c r="L14" s="330" t="s">
        <v>1370</v>
      </c>
    </row>
    <row r="15" spans="1:12" ht="17.399999999999999">
      <c r="A15" s="317" t="s">
        <v>1711</v>
      </c>
      <c r="B15" s="318" t="s">
        <v>1675</v>
      </c>
      <c r="C15" s="319" t="s">
        <v>1712</v>
      </c>
      <c r="D15" s="320">
        <v>6</v>
      </c>
      <c r="E15" s="338" t="s">
        <v>1702</v>
      </c>
      <c r="F15" s="318" t="s">
        <v>1675</v>
      </c>
      <c r="G15" s="319" t="s">
        <v>1713</v>
      </c>
      <c r="H15" s="333">
        <v>3</v>
      </c>
      <c r="I15" s="322" t="s">
        <v>1685</v>
      </c>
      <c r="J15" s="318" t="s">
        <v>1681</v>
      </c>
      <c r="K15" s="11"/>
      <c r="L15" s="323" t="s">
        <v>1370</v>
      </c>
    </row>
    <row r="17" spans="1:12">
      <c r="A17" s="344" t="s">
        <v>1714</v>
      </c>
      <c r="B17" s="345">
        <v>46305</v>
      </c>
      <c r="C17" s="346" t="s">
        <v>1715</v>
      </c>
      <c r="D17" s="347"/>
      <c r="E17" s="347"/>
      <c r="F17" s="348">
        <v>46275</v>
      </c>
      <c r="G17" s="349" t="s">
        <v>1716</v>
      </c>
      <c r="H17" s="347"/>
      <c r="I17" s="347"/>
      <c r="J17" s="350" t="s">
        <v>1717</v>
      </c>
      <c r="K17" s="351" t="s">
        <v>1718</v>
      </c>
      <c r="L17" s="347"/>
    </row>
    <row r="19" spans="1:12">
      <c r="A19" s="222" t="s">
        <v>1719</v>
      </c>
    </row>
    <row r="20" spans="1:12">
      <c r="A20" s="306" t="s">
        <v>1720</v>
      </c>
      <c r="B20" s="748" t="s">
        <v>1721</v>
      </c>
      <c r="C20" s="748"/>
      <c r="D20" s="748"/>
      <c r="E20" s="748"/>
      <c r="F20" s="748"/>
      <c r="G20" s="748"/>
      <c r="H20" s="748"/>
      <c r="I20" s="748"/>
      <c r="J20" s="748"/>
      <c r="K20" s="748"/>
      <c r="L20" s="748"/>
    </row>
    <row r="21" spans="1:12">
      <c r="A21" s="307" t="s">
        <v>1722</v>
      </c>
      <c r="B21" s="748" t="s">
        <v>1723</v>
      </c>
      <c r="C21" s="748"/>
      <c r="D21" s="748"/>
      <c r="E21" s="748"/>
      <c r="F21" s="748"/>
      <c r="G21" s="748"/>
      <c r="H21" s="748"/>
      <c r="I21" s="748"/>
      <c r="J21" s="748"/>
      <c r="K21" s="748"/>
      <c r="L21" s="748"/>
    </row>
    <row r="22" spans="1:12">
      <c r="A22" s="308" t="s">
        <v>1724</v>
      </c>
      <c r="B22" s="748" t="s">
        <v>1725</v>
      </c>
      <c r="C22" s="748"/>
      <c r="D22" s="748"/>
      <c r="E22" s="748"/>
      <c r="F22" s="748"/>
      <c r="G22" s="748"/>
      <c r="H22" s="748"/>
      <c r="I22" s="748"/>
      <c r="J22" s="748"/>
      <c r="K22" s="748"/>
      <c r="L22" s="748"/>
    </row>
    <row r="23" spans="1:12">
      <c r="A23" s="309" t="s">
        <v>1726</v>
      </c>
      <c r="B23" s="748" t="s">
        <v>1727</v>
      </c>
      <c r="C23" s="748"/>
      <c r="D23" s="748"/>
      <c r="E23" s="748"/>
      <c r="F23" s="748"/>
      <c r="G23" s="748"/>
      <c r="H23" s="748"/>
      <c r="I23" s="748"/>
      <c r="J23" s="748"/>
      <c r="K23" s="748"/>
      <c r="L23" s="748"/>
    </row>
    <row r="25" spans="1:12">
      <c r="A25" s="222" t="s">
        <v>1728</v>
      </c>
    </row>
    <row r="26" spans="1:12">
      <c r="A26" s="306" t="s">
        <v>1729</v>
      </c>
      <c r="B26" s="748" t="s">
        <v>1730</v>
      </c>
      <c r="C26" s="748"/>
      <c r="D26" s="748"/>
      <c r="E26" s="748"/>
      <c r="F26" s="748"/>
      <c r="G26" s="748"/>
      <c r="H26" s="748"/>
      <c r="I26" s="748"/>
      <c r="J26" s="748"/>
      <c r="K26" s="748"/>
      <c r="L26" s="748"/>
    </row>
    <row r="27" spans="1:12">
      <c r="A27" s="307" t="s">
        <v>1731</v>
      </c>
      <c r="B27" s="748" t="s">
        <v>1732</v>
      </c>
      <c r="C27" s="748"/>
      <c r="D27" s="748"/>
      <c r="E27" s="748"/>
      <c r="F27" s="748"/>
      <c r="G27" s="748"/>
      <c r="H27" s="748"/>
      <c r="I27" s="748"/>
      <c r="J27" s="748"/>
      <c r="K27" s="748"/>
      <c r="L27" s="748"/>
    </row>
    <row r="28" spans="1:12">
      <c r="A28" s="308" t="s">
        <v>1733</v>
      </c>
      <c r="B28" s="748" t="s">
        <v>1734</v>
      </c>
      <c r="C28" s="748"/>
      <c r="D28" s="748"/>
      <c r="E28" s="748"/>
      <c r="F28" s="748"/>
      <c r="G28" s="748"/>
      <c r="H28" s="748"/>
      <c r="I28" s="748"/>
      <c r="J28" s="748"/>
      <c r="K28" s="748"/>
      <c r="L28" s="748"/>
    </row>
    <row r="30" spans="1:12">
      <c r="A30" s="222" t="s">
        <v>1735</v>
      </c>
    </row>
    <row r="31" spans="1:12">
      <c r="A31" s="310" t="s">
        <v>1736</v>
      </c>
      <c r="B31" s="748" t="s">
        <v>1737</v>
      </c>
      <c r="C31" s="748"/>
      <c r="D31" s="748"/>
      <c r="E31" s="748"/>
      <c r="F31" s="748"/>
      <c r="G31" s="748"/>
      <c r="H31" s="748"/>
      <c r="I31" s="748"/>
      <c r="J31" s="748"/>
      <c r="K31" s="748"/>
      <c r="L31" s="748"/>
    </row>
    <row r="32" spans="1:12">
      <c r="A32" s="310" t="s">
        <v>1738</v>
      </c>
      <c r="B32" s="748" t="s">
        <v>1739</v>
      </c>
      <c r="C32" s="748"/>
      <c r="D32" s="748"/>
      <c r="E32" s="748"/>
      <c r="F32" s="748"/>
      <c r="G32" s="748"/>
      <c r="H32" s="748"/>
      <c r="I32" s="748"/>
      <c r="J32" s="748"/>
      <c r="K32" s="748"/>
      <c r="L32" s="748"/>
    </row>
    <row r="33" spans="1:12">
      <c r="A33" s="310" t="s">
        <v>1740</v>
      </c>
      <c r="B33" s="748" t="s">
        <v>1741</v>
      </c>
      <c r="C33" s="748"/>
      <c r="D33" s="748"/>
      <c r="E33" s="748"/>
      <c r="F33" s="748"/>
      <c r="G33" s="748"/>
      <c r="H33" s="748"/>
      <c r="I33" s="748"/>
      <c r="J33" s="748"/>
      <c r="K33" s="748"/>
      <c r="L33" s="748"/>
    </row>
    <row r="34" spans="1:12">
      <c r="A34" s="310" t="s">
        <v>1742</v>
      </c>
      <c r="B34" s="748" t="s">
        <v>1743</v>
      </c>
      <c r="C34" s="748"/>
      <c r="D34" s="748"/>
      <c r="E34" s="748"/>
      <c r="F34" s="748"/>
      <c r="G34" s="748"/>
      <c r="H34" s="748"/>
      <c r="I34" s="748"/>
      <c r="J34" s="748"/>
      <c r="K34" s="748"/>
      <c r="L34" s="748"/>
    </row>
    <row r="35" spans="1:12">
      <c r="A35" s="310" t="s">
        <v>1744</v>
      </c>
      <c r="B35" s="748" t="s">
        <v>1745</v>
      </c>
      <c r="C35" s="748"/>
      <c r="D35" s="748"/>
      <c r="E35" s="748"/>
      <c r="F35" s="748"/>
      <c r="G35" s="748"/>
      <c r="H35" s="748"/>
      <c r="I35" s="748"/>
      <c r="J35" s="748"/>
      <c r="K35" s="748"/>
      <c r="L35" s="748"/>
    </row>
  </sheetData>
  <mergeCells count="15">
    <mergeCell ref="B34:L34"/>
    <mergeCell ref="B35:L35"/>
    <mergeCell ref="A5:A6"/>
    <mergeCell ref="B26:L26"/>
    <mergeCell ref="B27:L27"/>
    <mergeCell ref="B28:L28"/>
    <mergeCell ref="B31:L31"/>
    <mergeCell ref="B32:L32"/>
    <mergeCell ref="B33:L33"/>
    <mergeCell ref="B23:L23"/>
    <mergeCell ref="A1:L1"/>
    <mergeCell ref="A2:L2"/>
    <mergeCell ref="B20:L20"/>
    <mergeCell ref="B21:L21"/>
    <mergeCell ref="B22:L2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F9F98-7B6E-423E-AD19-510D0D48F512}">
  <dimension ref="A1:E121"/>
  <sheetViews>
    <sheetView workbookViewId="0">
      <pane ySplit="9" topLeftCell="A44" activePane="bottomLeft" state="frozen"/>
      <selection pane="bottomLeft" sqref="A1:L1"/>
    </sheetView>
  </sheetViews>
  <sheetFormatPr defaultRowHeight="14.4"/>
  <cols>
    <col min="1" max="1" width="59.21875" customWidth="1"/>
    <col min="2" max="2" width="12" customWidth="1"/>
    <col min="3" max="3" width="48.109375" customWidth="1"/>
    <col min="4" max="4" width="18.5546875" customWidth="1"/>
    <col min="5" max="5" width="15.77734375" customWidth="1"/>
  </cols>
  <sheetData>
    <row r="1" spans="1:5" ht="21">
      <c r="A1" s="719" t="s">
        <v>1746</v>
      </c>
      <c r="B1" s="719"/>
      <c r="C1" s="719"/>
      <c r="D1" s="719"/>
      <c r="E1" s="719"/>
    </row>
    <row r="2" spans="1:5">
      <c r="A2" s="751" t="s">
        <v>1747</v>
      </c>
      <c r="B2" s="751"/>
      <c r="C2" s="751"/>
      <c r="D2" s="751"/>
      <c r="E2" s="751"/>
    </row>
    <row r="4" spans="1:5">
      <c r="A4" s="353" t="s">
        <v>1748</v>
      </c>
      <c r="B4" s="15"/>
      <c r="C4" s="705"/>
      <c r="D4" s="705"/>
      <c r="E4" s="705"/>
    </row>
    <row r="5" spans="1:5">
      <c r="A5" s="355" t="s">
        <v>8</v>
      </c>
      <c r="C5" s="705"/>
      <c r="D5" s="705"/>
      <c r="E5" s="705"/>
    </row>
    <row r="6" spans="1:5">
      <c r="A6" s="355" t="s">
        <v>583</v>
      </c>
      <c r="C6" s="354"/>
    </row>
    <row r="7" spans="1:5">
      <c r="A7" s="355" t="s">
        <v>1749</v>
      </c>
      <c r="C7" s="354"/>
    </row>
    <row r="9" spans="1:5">
      <c r="A9" s="303" t="s">
        <v>1750</v>
      </c>
      <c r="B9" s="303" t="s">
        <v>1751</v>
      </c>
      <c r="C9" s="303" t="s">
        <v>1752</v>
      </c>
      <c r="D9" s="303" t="s">
        <v>1753</v>
      </c>
      <c r="E9" s="303" t="s">
        <v>1754</v>
      </c>
    </row>
    <row r="10" spans="1:5">
      <c r="A10" s="356" t="s">
        <v>1755</v>
      </c>
      <c r="B10" s="357"/>
      <c r="C10" s="357"/>
      <c r="D10" s="357"/>
      <c r="E10" s="357"/>
    </row>
    <row r="11" spans="1:5">
      <c r="A11" s="358" t="s">
        <v>1756</v>
      </c>
      <c r="B11" s="354"/>
      <c r="C11" s="354"/>
      <c r="D11" s="11"/>
      <c r="E11" s="359"/>
    </row>
    <row r="12" spans="1:5">
      <c r="A12" s="360" t="s">
        <v>1757</v>
      </c>
      <c r="B12" s="354"/>
      <c r="C12" s="354"/>
      <c r="D12" s="305"/>
      <c r="E12" s="359"/>
    </row>
    <row r="13" spans="1:5">
      <c r="A13" s="358" t="s">
        <v>1758</v>
      </c>
      <c r="B13" s="354"/>
      <c r="C13" s="354"/>
      <c r="D13" s="11"/>
      <c r="E13" s="359"/>
    </row>
    <row r="14" spans="1:5">
      <c r="A14" s="360" t="s">
        <v>1759</v>
      </c>
      <c r="B14" s="354"/>
      <c r="C14" s="354"/>
      <c r="D14" s="305"/>
      <c r="E14" s="359"/>
    </row>
    <row r="16" spans="1:5">
      <c r="A16" s="356" t="s">
        <v>1760</v>
      </c>
      <c r="B16" s="357"/>
      <c r="C16" s="357"/>
      <c r="D16" s="357"/>
      <c r="E16" s="357"/>
    </row>
    <row r="17" spans="1:5">
      <c r="A17" s="358" t="s">
        <v>1761</v>
      </c>
      <c r="B17" s="354"/>
      <c r="C17" s="354"/>
      <c r="D17" s="11"/>
      <c r="E17" s="359"/>
    </row>
    <row r="18" spans="1:5">
      <c r="A18" s="360" t="s">
        <v>1762</v>
      </c>
      <c r="B18" s="354"/>
      <c r="C18" s="354"/>
      <c r="D18" s="305"/>
      <c r="E18" s="359"/>
    </row>
    <row r="19" spans="1:5">
      <c r="A19" s="358" t="s">
        <v>1763</v>
      </c>
      <c r="B19" s="354"/>
      <c r="C19" s="354"/>
      <c r="D19" s="11"/>
      <c r="E19" s="359"/>
    </row>
    <row r="20" spans="1:5">
      <c r="A20" s="360" t="s">
        <v>1764</v>
      </c>
      <c r="B20" s="354"/>
      <c r="C20" s="354"/>
      <c r="D20" s="305"/>
      <c r="E20" s="359"/>
    </row>
    <row r="21" spans="1:5">
      <c r="A21" s="361" t="s">
        <v>1765</v>
      </c>
      <c r="B21" s="354"/>
      <c r="C21" s="354"/>
      <c r="D21" s="11"/>
      <c r="E21" s="359"/>
    </row>
    <row r="22" spans="1:5">
      <c r="A22" s="362" t="s">
        <v>1766</v>
      </c>
      <c r="B22" s="354"/>
      <c r="C22" s="354"/>
      <c r="D22" s="305"/>
      <c r="E22" s="359"/>
    </row>
    <row r="24" spans="1:5">
      <c r="A24" s="356" t="s">
        <v>1767</v>
      </c>
      <c r="B24" s="357"/>
      <c r="C24" s="357"/>
      <c r="D24" s="357"/>
      <c r="E24" s="357"/>
    </row>
    <row r="25" spans="1:5">
      <c r="A25" s="358" t="s">
        <v>1768</v>
      </c>
      <c r="B25" s="354"/>
      <c r="C25" s="354"/>
      <c r="D25" s="11"/>
      <c r="E25" s="359"/>
    </row>
    <row r="26" spans="1:5">
      <c r="A26" s="360" t="s">
        <v>1769</v>
      </c>
      <c r="B26" s="354"/>
      <c r="C26" s="354"/>
      <c r="D26" s="305"/>
      <c r="E26" s="359"/>
    </row>
    <row r="27" spans="1:5">
      <c r="A27" s="358" t="s">
        <v>1770</v>
      </c>
      <c r="B27" s="354"/>
      <c r="C27" s="354"/>
      <c r="D27" s="11"/>
      <c r="E27" s="359"/>
    </row>
    <row r="28" spans="1:5">
      <c r="A28" s="360" t="s">
        <v>1771</v>
      </c>
      <c r="B28" s="354"/>
      <c r="C28" s="354"/>
      <c r="D28" s="305"/>
      <c r="E28" s="359"/>
    </row>
    <row r="30" spans="1:5">
      <c r="A30" s="356" t="s">
        <v>1772</v>
      </c>
      <c r="B30" s="357"/>
      <c r="C30" s="357"/>
      <c r="D30" s="357"/>
      <c r="E30" s="357"/>
    </row>
    <row r="31" spans="1:5">
      <c r="A31" s="358" t="s">
        <v>1773</v>
      </c>
      <c r="B31" s="354"/>
      <c r="C31" s="354"/>
      <c r="D31" s="11"/>
      <c r="E31" s="359"/>
    </row>
    <row r="32" spans="1:5">
      <c r="A32" s="360" t="s">
        <v>1774</v>
      </c>
      <c r="B32" s="354"/>
      <c r="C32" s="354"/>
      <c r="D32" s="305"/>
      <c r="E32" s="359"/>
    </row>
    <row r="33" spans="1:5">
      <c r="A33" s="358" t="s">
        <v>1775</v>
      </c>
      <c r="B33" s="354"/>
      <c r="C33" s="354"/>
      <c r="D33" s="11"/>
      <c r="E33" s="359"/>
    </row>
    <row r="34" spans="1:5">
      <c r="A34" s="360" t="s">
        <v>1776</v>
      </c>
      <c r="B34" s="354"/>
      <c r="C34" s="354"/>
      <c r="D34" s="305"/>
      <c r="E34" s="359"/>
    </row>
    <row r="35" spans="1:5">
      <c r="A35" s="358" t="s">
        <v>1777</v>
      </c>
      <c r="B35" s="354"/>
      <c r="C35" s="354"/>
      <c r="D35" s="11"/>
      <c r="E35" s="359"/>
    </row>
    <row r="37" spans="1:5">
      <c r="A37" s="304" t="s">
        <v>1778</v>
      </c>
      <c r="B37" s="214"/>
      <c r="C37" s="214"/>
      <c r="D37" s="363" t="s">
        <v>1779</v>
      </c>
      <c r="E37" s="214"/>
    </row>
    <row r="38" spans="1:5">
      <c r="A38" s="358" t="s">
        <v>1780</v>
      </c>
      <c r="B38" s="354"/>
      <c r="C38" s="354"/>
      <c r="D38" s="364"/>
      <c r="E38" s="359"/>
    </row>
    <row r="39" spans="1:5">
      <c r="A39" s="360" t="s">
        <v>1781</v>
      </c>
      <c r="B39" s="354"/>
      <c r="C39" s="354"/>
      <c r="D39" s="364"/>
      <c r="E39" s="359"/>
    </row>
    <row r="40" spans="1:5">
      <c r="A40" s="358" t="s">
        <v>1782</v>
      </c>
      <c r="B40" s="354"/>
      <c r="C40" s="354"/>
      <c r="D40" s="11"/>
      <c r="E40" s="359"/>
    </row>
    <row r="41" spans="1:5">
      <c r="A41" s="365" t="s">
        <v>1783</v>
      </c>
      <c r="B41" s="366"/>
      <c r="C41" s="367" t="s">
        <v>1784</v>
      </c>
      <c r="D41" s="354"/>
      <c r="E41" s="359"/>
    </row>
    <row r="43" spans="1:5">
      <c r="A43" s="304" t="s">
        <v>1785</v>
      </c>
      <c r="B43" s="214"/>
      <c r="C43" s="214"/>
      <c r="D43" s="363" t="s">
        <v>1786</v>
      </c>
      <c r="E43" s="214"/>
    </row>
    <row r="44" spans="1:5">
      <c r="A44" s="358" t="s">
        <v>1787</v>
      </c>
      <c r="B44" s="354"/>
      <c r="C44" s="354"/>
      <c r="D44" s="11"/>
      <c r="E44" s="359"/>
    </row>
    <row r="45" spans="1:5">
      <c r="A45" s="360" t="s">
        <v>1788</v>
      </c>
      <c r="B45" s="354"/>
      <c r="C45" s="354"/>
      <c r="D45" s="305"/>
      <c r="E45" s="359"/>
    </row>
    <row r="46" spans="1:5">
      <c r="A46" s="358" t="s">
        <v>1789</v>
      </c>
      <c r="B46" s="354"/>
      <c r="C46" s="354"/>
      <c r="D46" s="11"/>
      <c r="E46" s="359"/>
    </row>
    <row r="47" spans="1:5">
      <c r="A47" s="360" t="s">
        <v>1790</v>
      </c>
      <c r="B47" s="354"/>
      <c r="C47" s="354"/>
      <c r="D47" s="305"/>
      <c r="E47" s="359"/>
    </row>
    <row r="48" spans="1:5">
      <c r="A48" s="358" t="s">
        <v>1791</v>
      </c>
      <c r="B48" s="354"/>
      <c r="C48" s="354"/>
      <c r="D48" s="11"/>
      <c r="E48" s="359"/>
    </row>
    <row r="49" spans="1:5">
      <c r="A49" s="360" t="s">
        <v>1792</v>
      </c>
      <c r="B49" s="354"/>
      <c r="C49" s="354"/>
      <c r="D49" s="305"/>
      <c r="E49" s="359"/>
    </row>
    <row r="50" spans="1:5">
      <c r="A50" s="358" t="s">
        <v>1793</v>
      </c>
      <c r="B50" s="354"/>
      <c r="C50" s="354"/>
      <c r="D50" s="11"/>
      <c r="E50" s="359"/>
    </row>
    <row r="51" spans="1:5">
      <c r="A51" s="365" t="s">
        <v>1783</v>
      </c>
      <c r="B51" s="366"/>
      <c r="C51" s="367" t="s">
        <v>1794</v>
      </c>
      <c r="D51" s="354"/>
      <c r="E51" s="359"/>
    </row>
    <row r="53" spans="1:5">
      <c r="A53" s="356" t="s">
        <v>1795</v>
      </c>
      <c r="B53" s="357"/>
      <c r="C53" s="357"/>
      <c r="D53" s="357"/>
      <c r="E53" s="357"/>
    </row>
    <row r="54" spans="1:5">
      <c r="A54" s="358" t="s">
        <v>1796</v>
      </c>
      <c r="B54" s="354"/>
      <c r="C54" s="354"/>
      <c r="D54" s="11"/>
      <c r="E54" s="359"/>
    </row>
    <row r="55" spans="1:5">
      <c r="A55" s="360" t="s">
        <v>1797</v>
      </c>
      <c r="B55" s="354"/>
      <c r="C55" s="354"/>
      <c r="D55" s="354"/>
      <c r="E55" s="359"/>
    </row>
    <row r="56" spans="1:5">
      <c r="A56" s="358" t="s">
        <v>1798</v>
      </c>
      <c r="B56" s="354"/>
      <c r="C56" s="354"/>
      <c r="D56" s="354"/>
      <c r="E56" s="359"/>
    </row>
    <row r="57" spans="1:5">
      <c r="A57" s="360" t="s">
        <v>1799</v>
      </c>
      <c r="B57" s="354"/>
      <c r="C57" s="354"/>
      <c r="D57" s="305"/>
      <c r="E57" s="359"/>
    </row>
    <row r="58" spans="1:5">
      <c r="A58" s="358" t="s">
        <v>1800</v>
      </c>
      <c r="B58" s="354"/>
      <c r="C58" s="354"/>
      <c r="D58" s="11"/>
      <c r="E58" s="359"/>
    </row>
    <row r="59" spans="1:5">
      <c r="A59" s="362" t="s">
        <v>1801</v>
      </c>
      <c r="B59" s="354"/>
      <c r="C59" s="354"/>
      <c r="D59" s="305"/>
      <c r="E59" s="359"/>
    </row>
    <row r="61" spans="1:5">
      <c r="A61" s="356" t="s">
        <v>1802</v>
      </c>
      <c r="B61" s="357"/>
      <c r="C61" s="357"/>
      <c r="D61" s="357"/>
      <c r="E61" s="357"/>
    </row>
    <row r="62" spans="1:5">
      <c r="A62" s="358" t="s">
        <v>1803</v>
      </c>
      <c r="B62" s="354"/>
      <c r="C62" s="354"/>
      <c r="D62" s="11"/>
      <c r="E62" s="359"/>
    </row>
    <row r="63" spans="1:5">
      <c r="A63" s="360" t="s">
        <v>1804</v>
      </c>
      <c r="B63" s="354"/>
      <c r="C63" s="354"/>
      <c r="D63" s="305"/>
      <c r="E63" s="359"/>
    </row>
    <row r="64" spans="1:5">
      <c r="A64" s="358" t="s">
        <v>1805</v>
      </c>
      <c r="B64" s="354"/>
      <c r="C64" s="354"/>
      <c r="D64" s="11"/>
      <c r="E64" s="359"/>
    </row>
    <row r="65" spans="1:5">
      <c r="A65" s="368" t="s">
        <v>1806</v>
      </c>
      <c r="B65" s="354"/>
      <c r="C65" s="354"/>
      <c r="D65" s="305"/>
      <c r="E65" s="359"/>
    </row>
    <row r="66" spans="1:5">
      <c r="A66" s="358" t="s">
        <v>1807</v>
      </c>
      <c r="B66" s="354"/>
      <c r="C66" s="354"/>
      <c r="D66" s="11"/>
      <c r="E66" s="359"/>
    </row>
    <row r="68" spans="1:5">
      <c r="A68" s="356" t="s">
        <v>1808</v>
      </c>
      <c r="B68" s="357"/>
      <c r="C68" s="357"/>
      <c r="D68" s="357"/>
      <c r="E68" s="357"/>
    </row>
    <row r="69" spans="1:5">
      <c r="A69" s="358" t="s">
        <v>1809</v>
      </c>
      <c r="B69" s="354"/>
      <c r="C69" s="354"/>
      <c r="D69" s="11"/>
      <c r="E69" s="359"/>
    </row>
    <row r="70" spans="1:5">
      <c r="A70" s="360" t="s">
        <v>1810</v>
      </c>
      <c r="B70" s="354"/>
      <c r="C70" s="354"/>
      <c r="D70" s="305"/>
      <c r="E70" s="359"/>
    </row>
    <row r="71" spans="1:5">
      <c r="A71" s="358" t="s">
        <v>1811</v>
      </c>
      <c r="B71" s="354"/>
      <c r="C71" s="354"/>
      <c r="D71" s="11"/>
      <c r="E71" s="359"/>
    </row>
    <row r="72" spans="1:5">
      <c r="A72" s="360" t="s">
        <v>1812</v>
      </c>
      <c r="B72" s="354"/>
      <c r="C72" s="354"/>
      <c r="D72" s="305"/>
      <c r="E72" s="359"/>
    </row>
    <row r="73" spans="1:5">
      <c r="A73" s="358" t="s">
        <v>1813</v>
      </c>
      <c r="B73" s="354"/>
      <c r="C73" s="354"/>
      <c r="D73" s="11"/>
      <c r="E73" s="359"/>
    </row>
    <row r="75" spans="1:5">
      <c r="A75" s="356" t="s">
        <v>1814</v>
      </c>
      <c r="B75" s="357"/>
      <c r="C75" s="357"/>
      <c r="D75" s="357"/>
      <c r="E75" s="357"/>
    </row>
    <row r="76" spans="1:5">
      <c r="A76" s="358" t="s">
        <v>1815</v>
      </c>
      <c r="B76" s="354"/>
      <c r="C76" s="354"/>
      <c r="D76" s="11"/>
      <c r="E76" s="359"/>
    </row>
    <row r="77" spans="1:5">
      <c r="A77" s="360" t="s">
        <v>1816</v>
      </c>
      <c r="B77" s="354"/>
      <c r="C77" s="354"/>
      <c r="D77" s="305"/>
      <c r="E77" s="359"/>
    </row>
    <row r="78" spans="1:5">
      <c r="A78" s="358" t="s">
        <v>1817</v>
      </c>
      <c r="B78" s="354"/>
      <c r="C78" s="354"/>
      <c r="D78" s="11"/>
      <c r="E78" s="359"/>
    </row>
    <row r="79" spans="1:5">
      <c r="A79" s="360" t="s">
        <v>1818</v>
      </c>
      <c r="B79" s="354"/>
      <c r="C79" s="354"/>
      <c r="D79" s="305"/>
      <c r="E79" s="359"/>
    </row>
    <row r="80" spans="1:5">
      <c r="A80" s="358" t="s">
        <v>1819</v>
      </c>
      <c r="B80" s="354"/>
      <c r="C80" s="354"/>
      <c r="D80" s="11"/>
      <c r="E80" s="359"/>
    </row>
    <row r="82" spans="1:5">
      <c r="A82" s="356" t="s">
        <v>1820</v>
      </c>
      <c r="B82" s="357"/>
      <c r="C82" s="357"/>
      <c r="D82" s="357"/>
      <c r="E82" s="357"/>
    </row>
    <row r="83" spans="1:5">
      <c r="A83" s="358" t="s">
        <v>1821</v>
      </c>
      <c r="B83" s="354"/>
      <c r="C83" s="354"/>
      <c r="D83" s="11"/>
      <c r="E83" s="359"/>
    </row>
    <row r="84" spans="1:5">
      <c r="A84" s="360" t="s">
        <v>1822</v>
      </c>
      <c r="B84" s="354"/>
      <c r="C84" s="354"/>
      <c r="D84" s="305"/>
      <c r="E84" s="359"/>
    </row>
    <row r="85" spans="1:5">
      <c r="A85" s="358" t="s">
        <v>1823</v>
      </c>
      <c r="B85" s="354"/>
      <c r="C85" s="354"/>
      <c r="D85" s="11"/>
      <c r="E85" s="359"/>
    </row>
    <row r="86" spans="1:5">
      <c r="A86" s="360" t="s">
        <v>1824</v>
      </c>
      <c r="B86" s="354"/>
      <c r="C86" s="354"/>
      <c r="D86" s="305"/>
      <c r="E86" s="359"/>
    </row>
    <row r="87" spans="1:5">
      <c r="A87" s="358" t="s">
        <v>1825</v>
      </c>
      <c r="B87" s="354"/>
      <c r="C87" s="354"/>
      <c r="D87" s="11"/>
      <c r="E87" s="359"/>
    </row>
    <row r="89" spans="1:5">
      <c r="A89" s="356" t="s">
        <v>1826</v>
      </c>
      <c r="B89" s="357"/>
      <c r="C89" s="357"/>
      <c r="D89" s="357"/>
      <c r="E89" s="357"/>
    </row>
    <row r="90" spans="1:5">
      <c r="A90" s="358" t="s">
        <v>1827</v>
      </c>
      <c r="B90" s="354"/>
      <c r="C90" s="354"/>
      <c r="D90" s="11"/>
      <c r="E90" s="359"/>
    </row>
    <row r="91" spans="1:5">
      <c r="A91" s="360" t="s">
        <v>1828</v>
      </c>
      <c r="B91" s="354"/>
      <c r="C91" s="354"/>
      <c r="D91" s="305"/>
      <c r="E91" s="359"/>
    </row>
    <row r="92" spans="1:5">
      <c r="A92" s="358" t="s">
        <v>1829</v>
      </c>
      <c r="B92" s="354"/>
      <c r="C92" s="354"/>
      <c r="D92" s="11"/>
      <c r="E92" s="359"/>
    </row>
    <row r="93" spans="1:5">
      <c r="A93" s="360" t="s">
        <v>1830</v>
      </c>
      <c r="B93" s="354"/>
      <c r="C93" s="354"/>
      <c r="D93" s="305"/>
      <c r="E93" s="359"/>
    </row>
    <row r="95" spans="1:5">
      <c r="A95" s="356" t="s">
        <v>1831</v>
      </c>
      <c r="B95" s="357"/>
      <c r="C95" s="357"/>
      <c r="D95" s="357"/>
      <c r="E95" s="357"/>
    </row>
    <row r="96" spans="1:5">
      <c r="A96" s="358" t="s">
        <v>1832</v>
      </c>
      <c r="B96" s="354"/>
      <c r="C96" s="354"/>
      <c r="D96" s="11"/>
      <c r="E96" s="359"/>
    </row>
    <row r="97" spans="1:5">
      <c r="A97" s="360" t="s">
        <v>1833</v>
      </c>
      <c r="B97" s="354"/>
      <c r="C97" s="354"/>
      <c r="D97" s="305"/>
      <c r="E97" s="359"/>
    </row>
    <row r="98" spans="1:5">
      <c r="A98" s="358" t="s">
        <v>1834</v>
      </c>
      <c r="B98" s="354"/>
      <c r="C98" s="354"/>
      <c r="D98" s="11"/>
      <c r="E98" s="359"/>
    </row>
    <row r="99" spans="1:5">
      <c r="A99" s="360" t="s">
        <v>1835</v>
      </c>
      <c r="B99" s="354"/>
      <c r="C99" s="354"/>
      <c r="D99" s="305"/>
      <c r="E99" s="359"/>
    </row>
    <row r="100" spans="1:5">
      <c r="A100" s="358" t="s">
        <v>1836</v>
      </c>
      <c r="B100" s="354"/>
      <c r="C100" s="354"/>
      <c r="D100" s="11"/>
      <c r="E100" s="359"/>
    </row>
    <row r="102" spans="1:5">
      <c r="A102" s="356" t="s">
        <v>1837</v>
      </c>
      <c r="B102" s="357"/>
      <c r="C102" s="357"/>
      <c r="D102" s="357"/>
      <c r="E102" s="357"/>
    </row>
    <row r="103" spans="1:5">
      <c r="A103" s="358" t="s">
        <v>1838</v>
      </c>
      <c r="B103" s="354"/>
      <c r="C103" s="354"/>
      <c r="D103" s="11"/>
      <c r="E103" s="359"/>
    </row>
    <row r="104" spans="1:5">
      <c r="A104" s="360" t="s">
        <v>1839</v>
      </c>
      <c r="B104" s="354"/>
      <c r="C104" s="354"/>
      <c r="D104" s="305"/>
      <c r="E104" s="359"/>
    </row>
    <row r="105" spans="1:5">
      <c r="A105" s="358" t="s">
        <v>1840</v>
      </c>
      <c r="B105" s="354"/>
      <c r="C105" s="354"/>
      <c r="D105" s="11"/>
      <c r="E105" s="359"/>
    </row>
    <row r="107" spans="1:5">
      <c r="A107" s="369" t="s">
        <v>1841</v>
      </c>
      <c r="B107" s="357"/>
      <c r="C107" s="357"/>
      <c r="D107" s="357"/>
      <c r="E107" s="357"/>
    </row>
    <row r="108" spans="1:5">
      <c r="A108" s="358" t="s">
        <v>1842</v>
      </c>
      <c r="B108" s="354"/>
      <c r="C108" s="354"/>
      <c r="D108" s="11"/>
      <c r="E108" s="359"/>
    </row>
    <row r="109" spans="1:5">
      <c r="A109" s="360" t="s">
        <v>1843</v>
      </c>
      <c r="B109" s="354"/>
      <c r="C109" s="354"/>
      <c r="D109" s="305"/>
      <c r="E109" s="359"/>
    </row>
    <row r="110" spans="1:5">
      <c r="A110" s="358" t="s">
        <v>1844</v>
      </c>
      <c r="B110" s="354"/>
      <c r="C110" s="354"/>
      <c r="D110" s="11"/>
      <c r="E110" s="359"/>
    </row>
    <row r="111" spans="1:5">
      <c r="A111" s="360" t="s">
        <v>1845</v>
      </c>
      <c r="B111" s="354"/>
      <c r="C111" s="354"/>
      <c r="D111" s="305"/>
      <c r="E111" s="359"/>
    </row>
    <row r="112" spans="1:5">
      <c r="A112" s="358" t="s">
        <v>1846</v>
      </c>
      <c r="B112" s="354"/>
      <c r="C112" s="354"/>
      <c r="D112" s="11"/>
      <c r="E112" s="359"/>
    </row>
    <row r="113" spans="1:5">
      <c r="A113" s="360" t="s">
        <v>1847</v>
      </c>
      <c r="B113" s="354"/>
      <c r="C113" s="354"/>
      <c r="D113" s="305"/>
      <c r="E113" s="359"/>
    </row>
    <row r="115" spans="1:5">
      <c r="A115" s="353" t="s">
        <v>1848</v>
      </c>
      <c r="B115" s="303" t="s">
        <v>1849</v>
      </c>
      <c r="C115" s="303" t="s">
        <v>18</v>
      </c>
      <c r="D115" s="15"/>
      <c r="E115" s="15"/>
    </row>
    <row r="116" spans="1:5">
      <c r="A116" s="354"/>
      <c r="B116" s="354"/>
      <c r="C116" s="354"/>
    </row>
    <row r="117" spans="1:5">
      <c r="A117" s="354"/>
      <c r="B117" s="354"/>
      <c r="C117" s="354"/>
    </row>
    <row r="118" spans="1:5">
      <c r="A118" s="354"/>
      <c r="B118" s="354"/>
      <c r="C118" s="354"/>
    </row>
    <row r="120" spans="1:5">
      <c r="A120" s="752" t="s">
        <v>1850</v>
      </c>
      <c r="B120" s="752"/>
      <c r="C120" s="752"/>
      <c r="D120" s="752"/>
      <c r="E120" s="752"/>
    </row>
    <row r="121" spans="1:5">
      <c r="A121" s="705"/>
      <c r="B121" s="705"/>
      <c r="C121" s="705"/>
      <c r="D121" s="705"/>
      <c r="E121" s="705"/>
    </row>
  </sheetData>
  <mergeCells count="6">
    <mergeCell ref="A121:E121"/>
    <mergeCell ref="A1:E1"/>
    <mergeCell ref="A2:E2"/>
    <mergeCell ref="C4:E4"/>
    <mergeCell ref="C5:E5"/>
    <mergeCell ref="A120:E120"/>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253C2AC9-E64F-4404-B45F-F4536978B061}">
          <x14:formula1>
            <xm:f>DROPDOWNS!$BN$2:$BN$6</xm:f>
          </x14:formula1>
          <xm:sqref>B11 B12 B13 B14 B17 B18 B19 B20 B21 B22 B25 B26 B27 B28 B31 B32 B33 B34 B35 B38 B39 B40 B44 B45 B46 B47 B48 B49 B50 B54 B55 B56 B57 B58 B59 B62 B63 B64 B65 B66 B69 B70 B71 B72 B73 B76 B77 B78 B79 B80 B83 B84 B85 B86 B87 B90 B91 B92 B93 B96 B97 B98 B99 B100 B103 B104 B105 B108 B109 B110 B111 B112 B113</xm:sqref>
        </x14:dataValidation>
        <x14:dataValidation type="list" allowBlank="1" showInputMessage="1" showErrorMessage="1" xr:uid="{C29440EE-4F42-4888-AACE-4627185266A9}">
          <x14:formula1>
            <xm:f>DROPDOWNS!$BO$2:$BO$6</xm:f>
          </x14:formula1>
          <xm:sqref>D41 D51</xm:sqref>
        </x14:dataValidation>
        <x14:dataValidation type="list" allowBlank="1" showInputMessage="1" showErrorMessage="1" xr:uid="{12FC8AF5-4F0D-4DFB-9BDF-617892445150}">
          <x14:formula1>
            <xm:f>DROPDOWNS!$BP$2:$BP$6</xm:f>
          </x14:formula1>
          <xm:sqref>C6</xm:sqref>
        </x14:dataValidation>
        <x14:dataValidation type="list" allowBlank="1" showInputMessage="1" showErrorMessage="1" xr:uid="{71F7C791-0F00-4810-8149-F5601D2E458C}">
          <x14:formula1>
            <xm:f>DROPDOWNS!$BQ$2:$BQ$16</xm:f>
          </x14:formula1>
          <xm:sqref>C7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EVIDENCE_ENTRY</vt:lpstr>
      <vt:lpstr>SCHEMA_MAP</vt:lpstr>
      <vt:lpstr>JSONLD_TEMPLATES</vt:lpstr>
      <vt:lpstr>PIPELINE_SPEC</vt:lpstr>
      <vt:lpstr>EVIDENCE_TAXONOMY</vt:lpstr>
      <vt:lpstr>CASE_TYPES</vt:lpstr>
      <vt:lpstr>MODULE_TEMPLATES</vt:lpstr>
      <vt:lpstr>CASE_MODULE_MAP</vt:lpstr>
      <vt:lpstr>TEMPLATE_THEOPHYSICS_FACTS (1)</vt:lpstr>
      <vt:lpstr>FACTS_PAPER</vt:lpstr>
      <vt:lpstr>DROPDOWNS</vt:lpstr>
      <vt:lpstr>DEFENSE_RECORD</vt:lpstr>
      <vt:lpstr>PAPER_II_ADVERSARIAL</vt:lpstr>
      <vt:lpstr>WORD_CLUSTERS</vt:lpstr>
      <vt:lpstr>7Q_RIGOR_CARD</vt:lpstr>
      <vt:lpstr>7Q_EVIDENCE_PROTOCOL</vt:lpstr>
      <vt:lpstr>7Q_CLASSIFIER</vt:lpstr>
      <vt:lpstr>7Q_REVERSE_PROVE</vt:lpstr>
      <vt:lpstr>7Q_REVERSE_PROVE_CLEAN</vt:lpstr>
      <vt:lpstr>LOWE_FACTS_FORMAT</vt:lpstr>
      <vt:lpstr>AXIOM_DIAGRAMS</vt:lpstr>
      <vt:lpstr>AXIOM_CONTAINER_MODEL</vt:lpstr>
      <vt:lpstr>PUBLICATION_PIPELINE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Lowe</cp:lastModifiedBy>
  <cp:lastPrinted>2026-04-05T22:53:40Z</cp:lastPrinted>
  <dcterms:created xsi:type="dcterms:W3CDTF">2026-04-02T04:29:52Z</dcterms:created>
  <dcterms:modified xsi:type="dcterms:W3CDTF">2026-04-10T01:57:01Z</dcterms:modified>
</cp:coreProperties>
</file>