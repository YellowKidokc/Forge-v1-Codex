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5" customWidth="1" min="3" max="3"/>
    <col width="39" customWidth="1" min="4" max="4"/>
    <col width="13" customWidth="1" min="5" max="5"/>
    <col width="14" customWidth="1" min="6" max="6"/>
    <col width="16" customWidth="1" min="7" max="7"/>
    <col width="12" customWidth="1" min="8" max="8"/>
    <col width="16" customWidth="1" min="9" max="9"/>
    <col width="12" customWidth="1" min="10" max="10"/>
    <col width="15" customWidth="1" min="11" max="11"/>
    <col width="22" customWidth="1" min="12" max="12"/>
    <col width="48" customWidth="1" min="13" max="13"/>
    <col width="48" customWidth="1" min="14" max="14"/>
    <col width="48" customWidth="1" min="15" max="15"/>
    <col width="48" customWidth="1" min="16" max="16"/>
    <col width="14" customWidth="1" min="17" max="17"/>
    <col width="34" customWidth="1" min="18" max="18"/>
    <col width="48" customWidth="1" min="19" max="19"/>
  </cols>
  <sheetData>
    <row r="1">
      <c r="A1" s="1" t="inlineStr">
        <is>
          <t>node_id</t>
        </is>
      </c>
      <c r="B1" s="1" t="inlineStr">
        <is>
          <t>short_id</t>
        </is>
      </c>
      <c r="C1" s="1" t="inlineStr">
        <is>
          <t>title</t>
        </is>
      </c>
      <c r="D1" s="1" t="inlineStr">
        <is>
          <t>statement</t>
        </is>
      </c>
      <c r="E1" s="1" t="inlineStr">
        <is>
          <t>scope_level</t>
        </is>
      </c>
      <c r="F1" s="1" t="inlineStr">
        <is>
          <t>entity_class</t>
        </is>
      </c>
      <c r="G1" s="1" t="inlineStr">
        <is>
          <t>question_type</t>
        </is>
      </c>
      <c r="H1" s="1" t="inlineStr">
        <is>
          <t>ops_status</t>
        </is>
      </c>
      <c r="I1" s="1" t="inlineStr">
        <is>
          <t>chain_position</t>
        </is>
      </c>
      <c r="J1" s="1" t="inlineStr">
        <is>
          <t>tree_level</t>
        </is>
      </c>
      <c r="K1" s="1" t="inlineStr">
        <is>
          <t>origin_domain</t>
        </is>
      </c>
      <c r="L1" s="1" t="inlineStr">
        <is>
          <t>created_at</t>
        </is>
      </c>
      <c r="M1" s="1" t="inlineStr">
        <is>
          <t>support_score</t>
        </is>
      </c>
      <c r="N1" s="1" t="inlineStr">
        <is>
          <t>attack_score</t>
        </is>
      </c>
      <c r="O1" s="1" t="inlineStr">
        <is>
          <t>structure_score</t>
        </is>
      </c>
      <c r="P1" s="1" t="inlineStr">
        <is>
          <t>death_penalty</t>
        </is>
      </c>
      <c r="Q1" s="1" t="inlineStr">
        <is>
          <t>raw_t_score</t>
        </is>
      </c>
      <c r="R1" s="1" t="inlineStr">
        <is>
          <t>t_score</t>
        </is>
      </c>
      <c r="S1" s="1" t="inlineStr">
        <is>
          <t>tier</t>
        </is>
      </c>
    </row>
    <row r="2">
      <c r="A2" t="inlineStr">
        <is>
          <t>node-a1-1</t>
        </is>
      </c>
      <c r="B2" t="inlineStr">
        <is>
          <t>A1.1</t>
        </is>
      </c>
      <c r="C2" t="inlineStr">
        <is>
          <t>Existence Baseline</t>
        </is>
      </c>
      <c r="D2" t="inlineStr">
        <is>
          <t>Something exists rather than nothing.</t>
        </is>
      </c>
      <c r="E2" t="inlineStr">
        <is>
          <t>system</t>
        </is>
      </c>
      <c r="F2" t="inlineStr">
        <is>
          <t>axiom</t>
        </is>
      </c>
      <c r="G2" t="inlineStr">
        <is>
          <t>type1_binary</t>
        </is>
      </c>
      <c r="H2" t="inlineStr">
        <is>
          <t>canonical</t>
        </is>
      </c>
      <c r="I2" t="n">
        <v>1</v>
      </c>
      <c r="J2" t="n">
        <v>0</v>
      </c>
      <c r="K2" t="inlineStr">
        <is>
          <t>theophysics</t>
        </is>
      </c>
      <c r="L2" t="inlineStr">
        <is>
          <t>2026-03-09T00:00:00Z</t>
        </is>
      </c>
      <c r="M2">
        <f>SUMIFS(RELATIONSHIPS!$F:$F,RELATIONSHIPS!$B:$B,$A2,RELATIONSHIPS!$D:$D,"evidence",RELATIONSHIPS!$E:$E,"supports")</f>
        <v/>
      </c>
      <c r="N2">
        <f>SUMIFS(RELATIONSHIPS!$F:$F,RELATIONSHIPS!$B:$B,$A2,RELATIONSHIPS!$D:$D,"evidence",RELATIONSHIPS!$E:$E,"attacks")</f>
        <v/>
      </c>
      <c r="O2">
        <f>SUMIFS(RELATIONSHIPS!$F:$F,RELATIONSHIPS!$B:$B,$A2,RELATIONSHIPS!$D:$D,"role")+SUMIFS(RELATIONSHIPS!$F:$F,RELATIONSHIPS!$B:$B,$A2,RELATIONSHIPS!$D:$D,"time")+SUMIFS(RELATIONSHIPS!$F:$F,RELATIONSHIPS!$B:$B,$A2,RELATIONSHIPS!$D:$D,"context")</f>
        <v/>
      </c>
      <c r="P2">
        <f>COUNTIFS(RELATIONSHIPS!$B:$B,$A2,RELATIONSHIPS!$G:$G,"&lt;&gt;none",RELATIONSHIPS!$H:$H,"dead")*0.20</f>
        <v/>
      </c>
      <c r="Q2">
        <f>O2+M2-N2-P2</f>
        <v/>
      </c>
      <c r="R2">
        <f>MAX(0,MIN(100,ROUND(Q2*100,1)))</f>
        <v/>
      </c>
      <c r="S2">
        <f>IF(R2&gt;=90,"near-canonical",IF(R2&gt;=75,"strong",IF(R2&gt;=60,"provisional","weak")))</f>
        <v/>
      </c>
    </row>
    <row r="3">
      <c r="A3" t="inlineStr">
        <is>
          <t>node-a1-2</t>
        </is>
      </c>
      <c r="B3" t="inlineStr">
        <is>
          <t>A1.2</t>
        </is>
      </c>
      <c r="C3" t="inlineStr">
        <is>
          <t>Distinction Requirement</t>
        </is>
      </c>
      <c r="D3" t="inlineStr">
        <is>
          <t>Existence requires distinction.</t>
        </is>
      </c>
      <c r="E3" t="inlineStr">
        <is>
          <t>system</t>
        </is>
      </c>
      <c r="F3" t="inlineStr">
        <is>
          <t>axiom</t>
        </is>
      </c>
      <c r="G3" t="inlineStr">
        <is>
          <t>type2_identity</t>
        </is>
      </c>
      <c r="H3" t="inlineStr">
        <is>
          <t>reviewed</t>
        </is>
      </c>
      <c r="I3" t="n">
        <v>2</v>
      </c>
      <c r="J3" t="n">
        <v>1</v>
      </c>
      <c r="K3" t="inlineStr">
        <is>
          <t>theophysics</t>
        </is>
      </c>
      <c r="L3" t="inlineStr">
        <is>
          <t>2026-03-09T00:00:00Z</t>
        </is>
      </c>
      <c r="M3">
        <f>SUMIFS(RELATIONSHIPS!$F:$F,RELATIONSHIPS!$B:$B,$A3,RELATIONSHIPS!$D:$D,"evidence",RELATIONSHIPS!$E:$E,"supports")</f>
        <v/>
      </c>
      <c r="N3">
        <f>SUMIFS(RELATIONSHIPS!$F:$F,RELATIONSHIPS!$B:$B,$A3,RELATIONSHIPS!$D:$D,"evidence",RELATIONSHIPS!$E:$E,"attacks")</f>
        <v/>
      </c>
      <c r="O3">
        <f>SUMIFS(RELATIONSHIPS!$F:$F,RELATIONSHIPS!$B:$B,$A3,RELATIONSHIPS!$D:$D,"role")+SUMIFS(RELATIONSHIPS!$F:$F,RELATIONSHIPS!$B:$B,$A3,RELATIONSHIPS!$D:$D,"time")+SUMIFS(RELATIONSHIPS!$F:$F,RELATIONSHIPS!$B:$B,$A3,RELATIONSHIPS!$D:$D,"context")</f>
        <v/>
      </c>
      <c r="P3">
        <f>COUNTIFS(RELATIONSHIPS!$B:$B,$A3,RELATIONSHIPS!$G:$G,"&lt;&gt;none",RELATIONSHIPS!$H:$H,"dead")*0.20</f>
        <v/>
      </c>
      <c r="Q3">
        <f>O3+M3-N3-P3</f>
        <v/>
      </c>
      <c r="R3">
        <f>MAX(0,MIN(100,ROUND(Q3*100,1)))</f>
        <v/>
      </c>
      <c r="S3">
        <f>IF(R3&gt;=90,"near-canonical",IF(R3&gt;=75,"strong",IF(R3&gt;=60,"provisional","weak")))</f>
        <v/>
      </c>
    </row>
    <row r="4">
      <c r="A4" t="inlineStr">
        <is>
          <t>node-q0b</t>
        </is>
      </c>
      <c r="B4" t="inlineStr">
        <is>
          <t>Q0-B</t>
        </is>
      </c>
      <c r="C4" t="inlineStr">
        <is>
          <t>Anything Exists Branch</t>
        </is>
      </c>
      <c r="D4" t="inlineStr">
        <is>
          <t>Affirmation branch from Q0.</t>
        </is>
      </c>
      <c r="E4" t="inlineStr">
        <is>
          <t>system</t>
        </is>
      </c>
      <c r="F4" t="inlineStr">
        <is>
          <t>branch</t>
        </is>
      </c>
      <c r="G4" t="inlineStr">
        <is>
          <t>type1_binary</t>
        </is>
      </c>
      <c r="H4" t="inlineStr">
        <is>
          <t>reviewed</t>
        </is>
      </c>
      <c r="I4" t="n">
        <v>1</v>
      </c>
      <c r="J4" t="n">
        <v>0</v>
      </c>
      <c r="K4" t="inlineStr">
        <is>
          <t>theophysics</t>
        </is>
      </c>
      <c r="L4" t="inlineStr">
        <is>
          <t>2026-03-09T00:00:00Z</t>
        </is>
      </c>
      <c r="M4">
        <f>SUMIFS(RELATIONSHIPS!$F:$F,RELATIONSHIPS!$B:$B,$A4,RELATIONSHIPS!$D:$D,"evidence",RELATIONSHIPS!$E:$E,"supports")</f>
        <v/>
      </c>
      <c r="N4">
        <f>SUMIFS(RELATIONSHIPS!$F:$F,RELATIONSHIPS!$B:$B,$A4,RELATIONSHIPS!$D:$D,"evidence",RELATIONSHIPS!$E:$E,"attacks")</f>
        <v/>
      </c>
      <c r="O4">
        <f>SUMIFS(RELATIONSHIPS!$F:$F,RELATIONSHIPS!$B:$B,$A4,RELATIONSHIPS!$D:$D,"role")+SUMIFS(RELATIONSHIPS!$F:$F,RELATIONSHIPS!$B:$B,$A4,RELATIONSHIPS!$D:$D,"time")+SUMIFS(RELATIONSHIPS!$F:$F,RELATIONSHIPS!$B:$B,$A4,RELATIONSHIPS!$D:$D,"context")</f>
        <v/>
      </c>
      <c r="P4">
        <f>COUNTIFS(RELATIONSHIPS!$B:$B,$A4,RELATIONSHIPS!$G:$G,"&lt;&gt;none",RELATIONSHIPS!$H:$H,"dead")*0.20</f>
        <v/>
      </c>
      <c r="Q4">
        <f>O4+M4-N4-P4</f>
        <v/>
      </c>
      <c r="R4">
        <f>MAX(0,MIN(100,ROUND(Q4*100,1)))</f>
        <v/>
      </c>
      <c r="S4">
        <f>IF(R4&gt;=90,"near-canonical",IF(R4&gt;=75,"strong",IF(R4&gt;=60,"provisional","weak")))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5" customWidth="1" min="5" max="5"/>
    <col width="10" customWidth="1" min="6" max="6"/>
    <col width="17" customWidth="1" min="7" max="7"/>
    <col width="10" customWidth="1" min="8" max="8"/>
    <col width="22" customWidth="1" min="9" max="9"/>
    <col width="27" customWidth="1" min="10" max="10"/>
    <col width="22" customWidth="1" min="11" max="11"/>
  </cols>
  <sheetData>
    <row r="1">
      <c r="A1" s="1" t="inlineStr">
        <is>
          <t>edge_id</t>
        </is>
      </c>
      <c r="B1" s="1" t="inlineStr">
        <is>
          <t>from_node_id</t>
        </is>
      </c>
      <c r="C1" s="1" t="inlineStr">
        <is>
          <t>to_node_id</t>
        </is>
      </c>
      <c r="D1" s="1" t="inlineStr">
        <is>
          <t>facet</t>
        </is>
      </c>
      <c r="E1" s="1" t="inlineStr">
        <is>
          <t>edge_type</t>
        </is>
      </c>
      <c r="F1" s="1" t="inlineStr">
        <is>
          <t>weight</t>
        </is>
      </c>
      <c r="G1" s="1" t="inlineStr">
        <is>
          <t>death_condition</t>
        </is>
      </c>
      <c r="H1" s="1" t="inlineStr">
        <is>
          <t>status</t>
        </is>
      </c>
      <c r="I1" s="1" t="inlineStr">
        <is>
          <t>source_ref</t>
        </is>
      </c>
      <c r="J1" s="1" t="inlineStr">
        <is>
          <t>note</t>
        </is>
      </c>
      <c r="K1" s="1" t="inlineStr">
        <is>
          <t>created_at</t>
        </is>
      </c>
    </row>
    <row r="2">
      <c r="A2" t="inlineStr">
        <is>
          <t>edge-001</t>
        </is>
      </c>
      <c r="B2" t="inlineStr">
        <is>
          <t>node-a1-1</t>
        </is>
      </c>
      <c r="C2" t="inlineStr">
        <is>
          <t>node-a1-2</t>
        </is>
      </c>
      <c r="D2" t="inlineStr">
        <is>
          <t>time</t>
        </is>
      </c>
      <c r="E2" t="inlineStr">
        <is>
          <t>forces</t>
        </is>
      </c>
      <c r="F2" t="n">
        <v>0.9</v>
      </c>
      <c r="G2" t="inlineStr">
        <is>
          <t>none</t>
        </is>
      </c>
      <c r="H2" t="inlineStr">
        <is>
          <t>alive</t>
        </is>
      </c>
      <c r="I2" t="inlineStr"/>
      <c r="J2" t="inlineStr">
        <is>
          <t>A1.1 forces A1.2</t>
        </is>
      </c>
      <c r="K2" t="inlineStr">
        <is>
          <t>2026-03-09T00:00:00Z</t>
        </is>
      </c>
    </row>
    <row r="3">
      <c r="A3" t="inlineStr">
        <is>
          <t>edge-002</t>
        </is>
      </c>
      <c r="B3" t="inlineStr">
        <is>
          <t>node-a1-1</t>
        </is>
      </c>
      <c r="C3" t="inlineStr">
        <is>
          <t>node-a1-1</t>
        </is>
      </c>
      <c r="D3" t="inlineStr">
        <is>
          <t>evidence</t>
        </is>
      </c>
      <c r="E3" t="inlineStr">
        <is>
          <t>supports</t>
        </is>
      </c>
      <c r="F3" t="n">
        <v>0.95</v>
      </c>
      <c r="G3" t="inlineStr">
        <is>
          <t>none</t>
        </is>
      </c>
      <c r="H3" t="inlineStr">
        <is>
          <t>alive</t>
        </is>
      </c>
      <c r="I3" t="inlineStr">
        <is>
          <t>self_refutation_test</t>
        </is>
      </c>
      <c r="J3" t="inlineStr"/>
      <c r="K3" t="inlineStr">
        <is>
          <t>2026-03-09T00:00:00Z</t>
        </is>
      </c>
    </row>
    <row r="4">
      <c r="A4" t="inlineStr">
        <is>
          <t>edge-003</t>
        </is>
      </c>
      <c r="B4" t="inlineStr">
        <is>
          <t>node-a1-1</t>
        </is>
      </c>
      <c r="C4" t="inlineStr">
        <is>
          <t>node-a1-1</t>
        </is>
      </c>
      <c r="D4" t="inlineStr">
        <is>
          <t>evidence</t>
        </is>
      </c>
      <c r="E4" t="inlineStr">
        <is>
          <t>attacks</t>
        </is>
      </c>
      <c r="F4" t="n">
        <v>0.2</v>
      </c>
      <c r="G4" t="inlineStr">
        <is>
          <t>self_refutation</t>
        </is>
      </c>
      <c r="H4" t="inlineStr">
        <is>
          <t>dead</t>
        </is>
      </c>
      <c r="I4" t="inlineStr">
        <is>
          <t>null_hypothesis</t>
        </is>
      </c>
      <c r="J4" t="inlineStr">
        <is>
          <t>Negation path collapses</t>
        </is>
      </c>
      <c r="K4" t="inlineStr">
        <is>
          <t>2026-03-09T00:00:00Z</t>
        </is>
      </c>
    </row>
    <row r="5">
      <c r="A5" t="inlineStr">
        <is>
          <t>edge-004</t>
        </is>
      </c>
      <c r="B5" t="inlineStr">
        <is>
          <t>node-a1-1</t>
        </is>
      </c>
      <c r="C5" t="inlineStr">
        <is>
          <t>node-q0b</t>
        </is>
      </c>
      <c r="D5" t="inlineStr">
        <is>
          <t>role</t>
        </is>
      </c>
      <c r="E5" t="inlineStr">
        <is>
          <t>propagates_to</t>
        </is>
      </c>
      <c r="F5" t="n">
        <v>0.85</v>
      </c>
      <c r="G5" t="inlineStr">
        <is>
          <t>none</t>
        </is>
      </c>
      <c r="H5" t="inlineStr">
        <is>
          <t>alive</t>
        </is>
      </c>
      <c r="I5" t="inlineStr"/>
      <c r="J5" t="inlineStr"/>
      <c r="K5" t="inlineStr">
        <is>
          <t>2026-03-09T00:00:00Z</t>
        </is>
      </c>
    </row>
    <row r="6">
      <c r="A6" t="inlineStr">
        <is>
          <t>edge-005</t>
        </is>
      </c>
      <c r="B6" t="inlineStr">
        <is>
          <t>node-a1-1</t>
        </is>
      </c>
      <c r="C6" t="inlineStr">
        <is>
          <t>node-a1-1</t>
        </is>
      </c>
      <c r="D6" t="inlineStr">
        <is>
          <t>context</t>
        </is>
      </c>
      <c r="E6" t="inlineStr">
        <is>
          <t>maps_to</t>
        </is>
      </c>
      <c r="F6" t="n">
        <v>0.7</v>
      </c>
      <c r="G6" t="inlineStr">
        <is>
          <t>none</t>
        </is>
      </c>
      <c r="H6" t="inlineStr">
        <is>
          <t>alive</t>
        </is>
      </c>
      <c r="I6" t="inlineStr"/>
      <c r="J6" t="inlineStr">
        <is>
          <t>maps to scripture/physics</t>
        </is>
      </c>
      <c r="K6" t="inlineStr">
        <is>
          <t>2026-03-09T00:00:00Z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Semantic Workspace Nodes+Edges Template (v2)</t>
        </is>
      </c>
    </row>
    <row r="2"/>
    <row r="3">
      <c r="A3" t="inlineStr">
        <is>
          <t>This workbook has two canonical tabs: NODES and RELATIONSHIPS.</t>
        </is>
      </c>
    </row>
    <row r="4">
      <c r="A4" t="inlineStr">
        <is>
          <t>T-score is computed in NODES from weighted RELATIONSHIPS.</t>
        </is>
      </c>
    </row>
    <row r="5">
      <c r="A5" t="inlineStr">
        <is>
          <t>Edit edge weights/death conditions to update truth-confidence.</t>
        </is>
      </c>
    </row>
    <row r="6">
      <c r="A6" t="inlineStr">
        <is>
          <t>Everything else (tree view, bridge view, worldview view) is a filtered projection.</t>
        </is>
      </c>
    </row>
    <row r="7"/>
    <row r="8">
      <c r="A8" t="inlineStr">
        <is>
          <t>T-score formula:</t>
        </is>
      </c>
    </row>
    <row r="9">
      <c r="A9" t="inlineStr">
        <is>
          <t>raw_t_score = structure_score + support_score - attack_score - death_penalty</t>
        </is>
      </c>
    </row>
    <row r="10">
      <c r="A10" t="inlineStr">
        <is>
          <t>t_score = clamp(raw_t_score * 100, 0, 100)</t>
        </is>
      </c>
    </row>
    <row r="11">
      <c r="A11" t="inlineStr">
        <is>
          <t>tier: near-canonical/strong/provisional/weak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2026-03-09T22:43:15Z</dcterms:created>
  <dcterms:modified xmlns:dcterms="http://purl.org/dc/terms/" xmlns:xsi="http://www.w3.org/2001/XMLSchema-instance" xsi:type="dcterms:W3CDTF">2026-03-09T22:43:15Z</dcterms:modified>
</cp:coreProperties>
</file>